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nbaoduo\Desktop\configTool\configTool\"/>
    </mc:Choice>
  </mc:AlternateContent>
  <bookViews>
    <workbookView xWindow="0" yWindow="0" windowWidth="9600" windowHeight="3135" tabRatio="528"/>
  </bookViews>
  <sheets>
    <sheet name="工具说明" sheetId="1" r:id="rId1"/>
    <sheet name="基础配置" sheetId="2" r:id="rId2"/>
    <sheet name="节点信息" sheetId="3" r:id="rId3"/>
    <sheet name="服务选择" sheetId="4" r:id="rId4"/>
    <sheet name="组件部署" sheetId="5" r:id="rId5"/>
    <sheet name="磁盘配置" sheetId="6" state="hidden" r:id="rId6"/>
    <sheet name="生成配置文件" sheetId="7" r:id="rId7"/>
    <sheet name="required_services" sheetId="8" state="hidden" r:id="rId8"/>
    <sheet name="option1" sheetId="9" state="hidden" r:id="rId9"/>
    <sheet name="option2" sheetId="10" state="hidden" r:id="rId10"/>
    <sheet name="option3" sheetId="11" state="hidden" r:id="rId11"/>
    <sheet name="constantValue" sheetId="12" state="hidden" r:id="rId12"/>
  </sheets>
  <functionGroups builtInGroupCount="18"/>
  <definedNames>
    <definedName name="atlasServer">组件部署!$U$6</definedName>
    <definedName name="backgroundTemplate">constantValue!$B$6:$K$6</definedName>
    <definedName name="BMC">节点信息!$H$5:$J$5</definedName>
    <definedName name="bmcGateway">节点信息!$J$6</definedName>
    <definedName name="bmcIPAddr">节点信息!$H$6</definedName>
    <definedName name="bmcNetmask">节点信息!$I$6</definedName>
    <definedName name="bmcOpen">基础配置!$C$14</definedName>
    <definedName name="clusterName">基础配置!$C$8</definedName>
    <definedName name="columnServices">required_services!$F$7:$W$7</definedName>
    <definedName name="componentNodesIP">组件部署!$A$5</definedName>
    <definedName name="confFilePath">生成配置文件!$B$4</definedName>
    <definedName name="dataDiskCount">磁盘配置!$I$6</definedName>
    <definedName name="dataNode">组件部署!$G$6</definedName>
    <definedName name="dataNodeTemplate">constantValue!$B$8:$BA$8</definedName>
    <definedName name="deployServicesName">组件部署!$C$5:$AZ$5</definedName>
    <definedName name="diskLastCol">磁盘配置!$O$3</definedName>
    <definedName name="diskNodesIp">磁盘配置!$A$5</definedName>
    <definedName name="diskNodeTemplate">constantValue!$B$10:$O$10</definedName>
    <definedName name="diskServicesName">磁盘配置!$J$6:$N$6</definedName>
    <definedName name="dnDiskCount">磁盘配置!$J$6</definedName>
    <definedName name="dns">节点信息!$F$6</definedName>
    <definedName name="domainName">基础配置!$C$11</definedName>
    <definedName name="ElasticSearchInstalled">constantValue!$C$13</definedName>
    <definedName name="esDiskCount">磁盘配置!$L$6</definedName>
    <definedName name="EsServer">组件部署!$AR$6</definedName>
    <definedName name="gateway">节点信息!$E$6</definedName>
    <definedName name="hdfsInstalled">constantValue!$C$28</definedName>
    <definedName name="indata_deploy.sh">constantValue!$D$34</definedName>
    <definedName name="infoLastCol">节点信息!$K$5</definedName>
    <definedName name="infoRootPassWord">节点信息!$G$6</definedName>
    <definedName name="init.sh">constantValue!$B$34</definedName>
    <definedName name="ipAddr">节点信息!$C$6</definedName>
    <definedName name="ipTemplate">constantValue!$B$8</definedName>
    <definedName name="jnDiskCount">磁盘配置!$F$6</definedName>
    <definedName name="journalNode">组件部署!$H$6</definedName>
    <definedName name="KafkaBroker">组件部署!$T$6</definedName>
    <definedName name="kafkaDiskCount">磁盘配置!$K$6</definedName>
    <definedName name="KafkaInstalled">constantValue!$C$24</definedName>
    <definedName name="kerberosAdminPassword">基础配置!$C$22</definedName>
    <definedName name="kerberosAdminUser">基础配置!$C$21</definedName>
    <definedName name="keycloakPassword">基础配置!$C$16</definedName>
    <definedName name="kmDiskCount">磁盘配置!$G$6</definedName>
    <definedName name="knoxGateway">组件部署!$AM$6</definedName>
    <definedName name="kuduDiskCount">磁盘配置!$N$6</definedName>
    <definedName name="KuduInstalled">constantValue!$C$14</definedName>
    <definedName name="KuduMaster">组件部署!$AP$6</definedName>
    <definedName name="KuduTServer">组件部署!$AQ$6</definedName>
    <definedName name="lastCol">组件部署!$BA$4</definedName>
    <definedName name="ldapBase">基础配置!$C$26</definedName>
    <definedName name="ldapRootPassword">基础配置!$C$23</definedName>
    <definedName name="logsearchServer">组件部署!$AN$6</definedName>
    <definedName name="macAddr">节点信息!$A$6</definedName>
    <definedName name="metaDiskCount">磁盘配置!$C$6</definedName>
    <definedName name="MIN_CULSTER_NODE_NUM">constantValue!$B$4</definedName>
    <definedName name="modeOption">基础配置!$C$7</definedName>
    <definedName name="mySQLDiskCount">磁盘配置!$H$6</definedName>
    <definedName name="mysqlHivePassword">基础配置!$C$17</definedName>
    <definedName name="mysqlIdapPassword">基础配置!$C$24</definedName>
    <definedName name="mysqlRootPassword">基础配置!$C$15</definedName>
    <definedName name="nameNode">组件部署!$F$6</definedName>
    <definedName name="netmask">节点信息!$D$6</definedName>
    <definedName name="networkInterface">基础配置!$C$27</definedName>
    <definedName name="nifiDiskCount">磁盘配置!$M$6</definedName>
    <definedName name="NiFiInstalled">constantValue!$C$17</definedName>
    <definedName name="NiFiMaster">组件部署!$AK$6</definedName>
    <definedName name="nifiPassword">基础配置!$C$20</definedName>
    <definedName name="nnDiskCount">磁盘配置!$E$6</definedName>
    <definedName name="nodesNum">基础配置!$C$10</definedName>
    <definedName name="nodeType">组件部署!$B$5</definedName>
    <definedName name="option1ComponentTopo">option1!$C$5:$AZ$10</definedName>
    <definedName name="option1NodeType">option1!$B$5:$B$10</definedName>
    <definedName name="option2ComponentTopo">option2!$C$5:$AZ$12</definedName>
    <definedName name="option2NodeType">option2!$B$5:$B$12</definedName>
    <definedName name="option3ComponentTopo">option3!$C$5:$AZ$7</definedName>
    <definedName name="option3NodeType">option3!$B$5:$B$7</definedName>
    <definedName name="planOption">基础配置!$C$9</definedName>
    <definedName name="rackName">节点信息!$B$6</definedName>
    <definedName name="rangerAdmin">组件部署!$AF$6</definedName>
    <definedName name="rangerAdminPassword">基础配置!$C$18</definedName>
    <definedName name="realm">基础配置!$C$25</definedName>
    <definedName name="requiredRelation">required_services!$F$8:$W$25</definedName>
    <definedName name="restart_required_services.json">constantValue!$F$34</definedName>
    <definedName name="rootPassWord">基础配置!$C$13</definedName>
    <definedName name="rootPassWordTemplate">constantValue!$H$6</definedName>
    <definedName name="rowServices">required_services!$E$8:$E$25</definedName>
    <definedName name="samePassWordorNot">基础配置!$C$12</definedName>
    <definedName name="servicesName">服务选择!$B$7:$B$24</definedName>
    <definedName name="start_all_services.json">constantValue!$H$34</definedName>
    <definedName name="topologyContent">constantValue!$B$32</definedName>
    <definedName name="totalDiskCount">磁盘配置!$B$5</definedName>
    <definedName name="userServiceSelect">服务选择!$A$7:$A$24</definedName>
    <definedName name="virtualIP">基础配置!$C$28</definedName>
    <definedName name="zkDiskCount">磁盘配置!$D$6</definedName>
    <definedName name="zooKeeperServer">组件部署!$D$6</definedName>
  </definedNames>
  <calcPr calcId="152511"/>
</workbook>
</file>

<file path=xl/calcChain.xml><?xml version="1.0" encoding="utf-8"?>
<calcChain xmlns="http://schemas.openxmlformats.org/spreadsheetml/2006/main">
  <c r="A9" i="6" l="1"/>
  <c r="H6" i="12"/>
  <c r="C16" i="12"/>
  <c r="C14" i="12"/>
  <c r="B8" i="12"/>
  <c r="G7" i="3"/>
  <c r="C22" i="12"/>
  <c r="C25" i="12"/>
  <c r="C26" i="12"/>
  <c r="C13" i="12"/>
  <c r="A8" i="6"/>
  <c r="C18" i="12"/>
  <c r="C21" i="12"/>
  <c r="C28" i="12"/>
  <c r="A8" i="5"/>
  <c r="C17" i="12"/>
  <c r="C15" i="12"/>
  <c r="A9" i="5"/>
  <c r="C23" i="12"/>
  <c r="G8" i="3"/>
  <c r="C30" i="12"/>
  <c r="C29" i="12"/>
  <c r="A7" i="6"/>
  <c r="C24" i="12"/>
  <c r="C19" i="12"/>
  <c r="A7" i="5"/>
  <c r="C20" i="12"/>
  <c r="C27" i="12"/>
  <c r="B10" i="12"/>
  <c r="G9" i="3"/>
</calcChain>
</file>

<file path=xl/sharedStrings.xml><?xml version="1.0" encoding="utf-8"?>
<sst xmlns="http://schemas.openxmlformats.org/spreadsheetml/2006/main" count="1049" uniqueCount="311">
  <si>
    <t>备注</t>
    <phoneticPr fontId="1" type="noConversion"/>
  </si>
  <si>
    <t>内容</t>
    <phoneticPr fontId="1" type="noConversion"/>
  </si>
  <si>
    <t>集群名称</t>
    <phoneticPr fontId="1" type="noConversion"/>
  </si>
  <si>
    <t>集群节点数量</t>
    <phoneticPr fontId="1" type="noConversion"/>
  </si>
  <si>
    <t>节点域名</t>
    <phoneticPr fontId="1" type="noConversion"/>
  </si>
  <si>
    <t>ROOT密码</t>
    <phoneticPr fontId="1" type="noConversion"/>
  </si>
  <si>
    <t>HDFS Fedaration启用</t>
    <phoneticPr fontId="1" type="noConversion"/>
  </si>
  <si>
    <t>ROOT密码是否一致</t>
    <phoneticPr fontId="1" type="noConversion"/>
  </si>
  <si>
    <t>数据加密启用</t>
    <phoneticPr fontId="1" type="noConversion"/>
  </si>
  <si>
    <t>SSL启用</t>
    <phoneticPr fontId="1" type="noConversion"/>
  </si>
  <si>
    <t>配置</t>
    <phoneticPr fontId="1" type="noConversion"/>
  </si>
  <si>
    <t>*</t>
    <phoneticPr fontId="1" type="noConversion"/>
  </si>
  <si>
    <t>*</t>
    <phoneticPr fontId="1" type="noConversion"/>
  </si>
  <si>
    <t>配置方案</t>
    <phoneticPr fontId="1" type="noConversion"/>
  </si>
  <si>
    <t>Y</t>
  </si>
  <si>
    <t>N</t>
    <phoneticPr fontId="1" type="noConversion"/>
  </si>
  <si>
    <t>MAC地址</t>
    <phoneticPr fontId="1" type="noConversion"/>
  </si>
  <si>
    <t>机架名称</t>
    <phoneticPr fontId="1" type="noConversion"/>
  </si>
  <si>
    <t>IP地址</t>
    <phoneticPr fontId="1" type="noConversion"/>
  </si>
  <si>
    <t>子网掩码</t>
    <phoneticPr fontId="1" type="noConversion"/>
  </si>
  <si>
    <t>网关</t>
    <phoneticPr fontId="1" type="noConversion"/>
  </si>
  <si>
    <t>DNS</t>
    <phoneticPr fontId="1" type="noConversion"/>
  </si>
  <si>
    <t>选择状态</t>
    <phoneticPr fontId="1" type="noConversion"/>
  </si>
  <si>
    <t>服务名称</t>
    <phoneticPr fontId="1" type="noConversion"/>
  </si>
  <si>
    <t>服务描述</t>
    <phoneticPr fontId="1" type="noConversion"/>
  </si>
  <si>
    <t>ElasticSearch</t>
    <phoneticPr fontId="1" type="noConversion"/>
  </si>
  <si>
    <t>Kudu</t>
    <phoneticPr fontId="1" type="noConversion"/>
  </si>
  <si>
    <t>Log_Search</t>
    <phoneticPr fontId="1" type="noConversion"/>
  </si>
  <si>
    <t>Knox</t>
    <phoneticPr fontId="1" type="noConversion"/>
  </si>
  <si>
    <t>NiFi</t>
    <phoneticPr fontId="1" type="noConversion"/>
  </si>
  <si>
    <t>Sqoop</t>
    <phoneticPr fontId="1" type="noConversion"/>
  </si>
  <si>
    <t>Ranger_KMS</t>
    <phoneticPr fontId="1" type="noConversion"/>
  </si>
  <si>
    <t>Ranger</t>
    <phoneticPr fontId="1" type="noConversion"/>
  </si>
  <si>
    <t>Spark2</t>
    <phoneticPr fontId="1" type="noConversion"/>
  </si>
  <si>
    <t>Hive</t>
    <phoneticPr fontId="1" type="noConversion"/>
  </si>
  <si>
    <t>Atlas</t>
    <phoneticPr fontId="1" type="noConversion"/>
  </si>
  <si>
    <t>Kafka</t>
    <phoneticPr fontId="1" type="noConversion"/>
  </si>
  <si>
    <t>HBase</t>
    <phoneticPr fontId="1" type="noConversion"/>
  </si>
  <si>
    <t>MapReduce2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</si>
  <si>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</si>
  <si>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</si>
  <si>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</si>
  <si>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Kerberos</t>
    <phoneticPr fontId="1" type="noConversion"/>
  </si>
  <si>
    <t>一种应用对称密钥体制进行密钥管理的系统</t>
    <phoneticPr fontId="1" type="noConversion"/>
  </si>
  <si>
    <t>Hadoop分布式文件系统（Hadoop Distributed File System），提供高吞吐量的数据访问，适合大规模数据集方面的应用。</t>
    <phoneticPr fontId="1" type="noConversion"/>
  </si>
  <si>
    <t>Hadoop 2.0中的资源管理系统，它是一个通用的资源模块，可以为各类应用程序进行资源管理和调度。</t>
    <phoneticPr fontId="1" type="noConversion"/>
  </si>
  <si>
    <t>提供快速并行处理大量数据的能力，是一种分布式数据处理模式和执行环境。</t>
    <phoneticPr fontId="1" type="noConversion"/>
  </si>
  <si>
    <t>建立在Hadoop基础上的开源的数据仓库，提供类似SQL的Hive QL语言操作结构化数据存储服务和基本的数据分析服务。</t>
    <phoneticPr fontId="1" type="noConversion"/>
  </si>
  <si>
    <t>提供海量数据存储功能，是一种构建在HDFS之上的分布式、面向列的存储系统。</t>
    <phoneticPr fontId="1" type="noConversion"/>
  </si>
  <si>
    <t>Apache Sqoop是一种旨在有效地在Apache Hadoop和诸如关系数据库等结构化数据存储之间传输海量数据的工具。</t>
    <phoneticPr fontId="1" type="noConversion"/>
  </si>
  <si>
    <t>一个开放源码的、可扩展的密钥管理服务，支持HDF“data at rest”加密。</t>
    <phoneticPr fontId="1" type="noConversion"/>
  </si>
  <si>
    <t>提供一个集中式的安全管理、授权和审计框架，它可以对Hadoop生态的组件如HDFS、Yarn、Hive、HBase等进行细粒度的数据访问控制，通过配置策略来控制用户访问权限。</t>
    <phoneticPr fontId="1" type="noConversion"/>
  </si>
  <si>
    <t>基于内存进行计算的分布式计算框架。</t>
    <phoneticPr fontId="1" type="noConversion"/>
  </si>
  <si>
    <t>Atlas是一种可伸缩、可扩展的核心基础治理服务集。</t>
    <phoneticPr fontId="1" type="noConversion"/>
  </si>
  <si>
    <t>一个分布式的、分区的、多副本的实时消息发布-订阅系统。提供可扩展、高吞吐、低延迟、高可靠的消息分发服务。</t>
    <phoneticPr fontId="1" type="noConversion"/>
  </si>
  <si>
    <t>提供分布式、高可用性的协调服务能力，帮助系统避免单点故障，从而建立可靠的应用程序。</t>
    <phoneticPr fontId="1" type="noConversion"/>
  </si>
  <si>
    <t>NiFi是一个易于使用、功能强大而且可靠的数据处理和分发系统。NiFi是为数据流设计，它支持高度可配置的指示图的数据路由、转换和系统中介逻辑,NIFI的设计目标是让各系统之间自动进行数据流交换。</t>
    <phoneticPr fontId="1" type="noConversion"/>
  </si>
  <si>
    <t>支持快速更新数据的快速分析，提供高性能的数据扫描和随机访问。</t>
    <phoneticPr fontId="1" type="noConversion"/>
  </si>
  <si>
    <t>为了简化和标准化发布和实现安全的 Hadoop 集群，通过集中式的 REST APIs 访问服务。</t>
    <phoneticPr fontId="1" type="noConversion"/>
  </si>
  <si>
    <t>ElasticSearch是一个基于Lucene的搜索服务器。它提供了一个分布式多用户能力的全文搜索引擎，基于RESTful web接口。</t>
    <phoneticPr fontId="1" type="noConversion"/>
  </si>
  <si>
    <t>集群中服务的日志收集、分析及可视化处理工具。</t>
    <phoneticPr fontId="1" type="noConversion"/>
  </si>
  <si>
    <t>节点类型</t>
    <phoneticPr fontId="1" type="noConversion"/>
  </si>
  <si>
    <t>NAMENODE</t>
    <phoneticPr fontId="1" type="noConversion"/>
  </si>
  <si>
    <t>JOURNALNODE</t>
    <phoneticPr fontId="1" type="noConversion"/>
  </si>
  <si>
    <t>ZKFC</t>
    <phoneticPr fontId="1" type="noConversion"/>
  </si>
  <si>
    <t>HBASE_REGIONSERVER</t>
    <phoneticPr fontId="1" type="noConversion"/>
  </si>
  <si>
    <t>YARN</t>
    <phoneticPr fontId="1" type="noConversion"/>
  </si>
  <si>
    <t>MapReduce2</t>
    <phoneticPr fontId="1" type="noConversion"/>
  </si>
  <si>
    <t>HBase</t>
    <phoneticPr fontId="1" type="noConversion"/>
  </si>
  <si>
    <t>DATANODE</t>
    <phoneticPr fontId="1" type="noConversion"/>
  </si>
  <si>
    <t>RESOURCEMANAGER</t>
    <phoneticPr fontId="1" type="noConversion"/>
  </si>
  <si>
    <t>NODEMANAGER</t>
    <phoneticPr fontId="1" type="noConversion"/>
  </si>
  <si>
    <t>APP_TIMELINE_SERVER</t>
    <phoneticPr fontId="1" type="noConversion"/>
  </si>
  <si>
    <t>HISTORYSERVER</t>
    <phoneticPr fontId="1" type="noConversion"/>
  </si>
  <si>
    <t>HBASE_MASTER</t>
    <phoneticPr fontId="1" type="noConversion"/>
  </si>
  <si>
    <t>Hive</t>
    <phoneticPr fontId="1" type="noConversion"/>
  </si>
  <si>
    <t>Kafka</t>
    <phoneticPr fontId="1" type="noConversion"/>
  </si>
  <si>
    <t>Atlas</t>
    <phoneticPr fontId="1" type="noConversion"/>
  </si>
  <si>
    <t>Ranger</t>
    <phoneticPr fontId="1" type="noConversion"/>
  </si>
  <si>
    <t>Ranger_KMS</t>
    <phoneticPr fontId="1" type="noConversion"/>
  </si>
  <si>
    <t>Spark2</t>
    <phoneticPr fontId="1" type="noConversion"/>
  </si>
  <si>
    <t>ZooKeeper</t>
    <phoneticPr fontId="1" type="noConversion"/>
  </si>
  <si>
    <t>Ambari_Infra</t>
    <phoneticPr fontId="1" type="noConversion"/>
  </si>
  <si>
    <t>Ambari_Metrics</t>
    <phoneticPr fontId="1" type="noConversion"/>
  </si>
  <si>
    <t>Pig</t>
    <phoneticPr fontId="1" type="noConversion"/>
  </si>
  <si>
    <t>Slider</t>
    <phoneticPr fontId="1" type="noConversion"/>
  </si>
  <si>
    <t>Tez</t>
    <phoneticPr fontId="1" type="noConversion"/>
  </si>
  <si>
    <t>NiFi</t>
    <phoneticPr fontId="1" type="noConversion"/>
  </si>
  <si>
    <t>Kudu</t>
    <phoneticPr fontId="1" type="noConversion"/>
  </si>
  <si>
    <t>HIVE_METASTORE</t>
    <phoneticPr fontId="1" type="noConversion"/>
  </si>
  <si>
    <t>HIVE_SERVER</t>
    <phoneticPr fontId="1" type="noConversion"/>
  </si>
  <si>
    <t>WEBHCAT_SERVER</t>
    <phoneticPr fontId="1" type="noConversion"/>
  </si>
  <si>
    <t>MYSQL_SERVER</t>
    <phoneticPr fontId="1" type="noConversion"/>
  </si>
  <si>
    <t>HCAT</t>
    <phoneticPr fontId="1" type="noConversion"/>
  </si>
  <si>
    <t>KAFKA_BROKER</t>
    <phoneticPr fontId="1" type="noConversion"/>
  </si>
  <si>
    <t>ATLAS_SERVER</t>
    <phoneticPr fontId="1" type="noConversion"/>
  </si>
  <si>
    <t>RANGER_ADMIN</t>
    <phoneticPr fontId="1" type="noConversion"/>
  </si>
  <si>
    <t>RANGER_USERSYNC</t>
    <phoneticPr fontId="1" type="noConversion"/>
  </si>
  <si>
    <t>RANGER_TAGSYNC</t>
    <phoneticPr fontId="1" type="noConversion"/>
  </si>
  <si>
    <t>RANGER_KMS_SERVER</t>
    <phoneticPr fontId="1" type="noConversion"/>
  </si>
  <si>
    <t>SPARK2_JOBHISTORYSERVER</t>
    <phoneticPr fontId="1" type="noConversion"/>
  </si>
  <si>
    <t>SPARK2_THRIFTSERVER</t>
    <phoneticPr fontId="1" type="noConversion"/>
  </si>
  <si>
    <t>SQOOP</t>
    <phoneticPr fontId="1" type="noConversion"/>
  </si>
  <si>
    <t>ZOOKEEPER_SERVER</t>
    <phoneticPr fontId="1" type="noConversion"/>
  </si>
  <si>
    <t>INFRA_SOLR</t>
    <phoneticPr fontId="1" type="noConversion"/>
  </si>
  <si>
    <t>METRICS_COLLECTOR</t>
    <phoneticPr fontId="1" type="noConversion"/>
  </si>
  <si>
    <t>METRICS_GRAFANA</t>
    <phoneticPr fontId="1" type="noConversion"/>
  </si>
  <si>
    <t>METRICS_MONITOR</t>
    <phoneticPr fontId="1" type="noConversion"/>
  </si>
  <si>
    <t>PIG</t>
    <phoneticPr fontId="1" type="noConversion"/>
  </si>
  <si>
    <t>SLIDER</t>
    <phoneticPr fontId="1" type="noConversion"/>
  </si>
  <si>
    <t>TEZ_CLIENT</t>
    <phoneticPr fontId="1" type="noConversion"/>
  </si>
  <si>
    <t>ES_SERVER</t>
    <phoneticPr fontId="1" type="noConversion"/>
  </si>
  <si>
    <t>NIFI_MASTER</t>
    <phoneticPr fontId="1" type="noConversion"/>
  </si>
  <si>
    <t>NIFI_CA</t>
    <phoneticPr fontId="1" type="noConversion"/>
  </si>
  <si>
    <t>KUDU_MASTER</t>
    <phoneticPr fontId="1" type="noConversion"/>
  </si>
  <si>
    <t>KUDU_TSERVER</t>
    <phoneticPr fontId="1" type="noConversion"/>
  </si>
  <si>
    <t>Log_Search</t>
    <phoneticPr fontId="1" type="noConversion"/>
  </si>
  <si>
    <t>LOGSEARCH_SERVER</t>
    <phoneticPr fontId="1" type="noConversion"/>
  </si>
  <si>
    <t>LOGSEARCH_LOGFEEDER</t>
    <phoneticPr fontId="1" type="noConversion"/>
  </si>
  <si>
    <t>Knox</t>
    <phoneticPr fontId="1" type="noConversion"/>
  </si>
  <si>
    <t>KNOX_GATEWAY</t>
    <phoneticPr fontId="1" type="noConversion"/>
  </si>
  <si>
    <t>KERBEROS_CLIENT</t>
    <phoneticPr fontId="1" type="noConversion"/>
  </si>
  <si>
    <t>Kerberos</t>
    <phoneticPr fontId="1" type="noConversion"/>
  </si>
  <si>
    <t>服务依赖</t>
    <phoneticPr fontId="1" type="noConversion"/>
  </si>
  <si>
    <t>Sqoop</t>
    <phoneticPr fontId="1" type="noConversion"/>
  </si>
  <si>
    <t>Elasticsearch</t>
    <phoneticPr fontId="1" type="noConversion"/>
  </si>
  <si>
    <t>Kudu</t>
    <phoneticPr fontId="1" type="noConversion"/>
  </si>
  <si>
    <t>Knox</t>
    <phoneticPr fontId="1" type="noConversion"/>
  </si>
  <si>
    <t>Hive</t>
    <phoneticPr fontId="1" type="noConversion"/>
  </si>
  <si>
    <t>Kafka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</si>
  <si>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</si>
  <si>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</si>
  <si>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</si>
  <si>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Log_Search</t>
    <phoneticPr fontId="1" type="noConversion"/>
  </si>
  <si>
    <t>Y</t>
    <phoneticPr fontId="1" type="noConversion"/>
  </si>
  <si>
    <t>管理节点虚拟IP</t>
    <phoneticPr fontId="1" type="noConversion"/>
  </si>
  <si>
    <t>管理节点虚拟IP绑定网卡</t>
    <phoneticPr fontId="1" type="noConversion"/>
  </si>
  <si>
    <t>Hive用户密码</t>
    <phoneticPr fontId="1" type="noConversion"/>
  </si>
  <si>
    <t>Ranger_KMS用户密码</t>
    <phoneticPr fontId="1" type="noConversion"/>
  </si>
  <si>
    <t>NiFi用户密码</t>
    <phoneticPr fontId="1" type="noConversion"/>
  </si>
  <si>
    <t>至少12位</t>
    <phoneticPr fontId="1" type="noConversion"/>
  </si>
  <si>
    <t>ATLAS_CLIENT</t>
    <phoneticPr fontId="1" type="noConversion"/>
  </si>
  <si>
    <t>MN&amp;CN</t>
    <phoneticPr fontId="1" type="noConversion"/>
  </si>
  <si>
    <t>MN&amp;CN</t>
    <phoneticPr fontId="1" type="noConversion"/>
  </si>
  <si>
    <t>CN</t>
    <phoneticPr fontId="1" type="noConversion"/>
  </si>
  <si>
    <t>DN</t>
    <phoneticPr fontId="1" type="noConversion"/>
  </si>
  <si>
    <t>DN</t>
    <phoneticPr fontId="1" type="noConversion"/>
  </si>
  <si>
    <t>DN</t>
    <phoneticPr fontId="1" type="noConversion"/>
  </si>
  <si>
    <t>MN</t>
    <phoneticPr fontId="1" type="noConversion"/>
  </si>
  <si>
    <t>CN</t>
    <phoneticPr fontId="1" type="noConversion"/>
  </si>
  <si>
    <t>DN</t>
    <phoneticPr fontId="1" type="noConversion"/>
  </si>
  <si>
    <t>MN&amp;CN&amp;DN</t>
  </si>
  <si>
    <t>CN&amp;DN</t>
  </si>
  <si>
    <t>节点类型</t>
    <phoneticPr fontId="1" type="noConversion"/>
  </si>
  <si>
    <t>节点类型</t>
    <phoneticPr fontId="1" type="noConversion"/>
  </si>
  <si>
    <t>Y</t>
    <phoneticPr fontId="1" type="noConversion"/>
  </si>
  <si>
    <t>HBase</t>
    <phoneticPr fontId="1" type="noConversion"/>
  </si>
  <si>
    <t>LastCol</t>
    <phoneticPr fontId="1" type="noConversion"/>
  </si>
  <si>
    <t>备注：</t>
    <phoneticPr fontId="1" type="noConversion"/>
  </si>
  <si>
    <t>N</t>
    <phoneticPr fontId="1" type="noConversion"/>
  </si>
  <si>
    <t>若选择为“Y”,则自动填写节点信息页的ROOT密码列，否则由用户手动为各个节点设置用户密码</t>
    <phoneticPr fontId="1" type="noConversion"/>
  </si>
  <si>
    <t>统一的ROOT密码值</t>
    <phoneticPr fontId="1" type="noConversion"/>
  </si>
  <si>
    <t>LastCol</t>
    <phoneticPr fontId="1" type="noConversion"/>
  </si>
  <si>
    <t>节点IP</t>
    <phoneticPr fontId="1" type="noConversion"/>
  </si>
  <si>
    <t>ROOT密码</t>
    <phoneticPr fontId="1" type="noConversion"/>
  </si>
  <si>
    <t>root密码公式</t>
    <phoneticPr fontId="1" type="noConversion"/>
  </si>
  <si>
    <t>ip地址公式</t>
    <phoneticPr fontId="1" type="noConversion"/>
  </si>
  <si>
    <t>ip地址公式</t>
    <phoneticPr fontId="1" type="noConversion"/>
  </si>
  <si>
    <t>Kudu</t>
    <phoneticPr fontId="1" type="noConversion"/>
  </si>
  <si>
    <t>NiFi</t>
  </si>
  <si>
    <t>ElasticSearch</t>
    <phoneticPr fontId="1" type="noConversion"/>
  </si>
  <si>
    <t>Kafka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</si>
  <si>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节点信息</t>
    </r>
    <r>
      <rPr>
        <sz val="11"/>
        <color theme="1"/>
        <rFont val="宋体"/>
        <family val="2"/>
        <scheme val="minor"/>
      </rPr>
      <t>页的模板背景：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</si>
  <si>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组件部署</t>
    </r>
    <r>
      <rPr>
        <sz val="11"/>
        <color theme="1"/>
        <rFont val="宋体"/>
        <family val="2"/>
        <scheme val="minor"/>
      </rPr>
      <t>，数据节点模板：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</si>
  <si>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磁盘配置</t>
    </r>
    <r>
      <rPr>
        <sz val="11"/>
        <color theme="1"/>
        <rFont val="宋体"/>
        <family val="2"/>
        <scheme val="minor"/>
      </rPr>
      <t>，节点磁盘模板：</t>
    </r>
    <phoneticPr fontId="1" type="noConversion"/>
  </si>
  <si>
    <t>LastCol</t>
    <phoneticPr fontId="1" type="noConversion"/>
  </si>
  <si>
    <t>Kafka</t>
    <phoneticPr fontId="1" type="noConversion"/>
  </si>
  <si>
    <t>ElasticSearch</t>
    <phoneticPr fontId="1" type="noConversion"/>
  </si>
  <si>
    <t>Kudu</t>
    <phoneticPr fontId="1" type="noConversion"/>
  </si>
  <si>
    <t>NiFi</t>
    <phoneticPr fontId="1" type="noConversion"/>
  </si>
  <si>
    <t>数据盘</t>
    <phoneticPr fontId="1" type="noConversion"/>
  </si>
  <si>
    <t>HDFS</t>
    <phoneticPr fontId="1" type="noConversion"/>
  </si>
  <si>
    <t>节点IP</t>
    <phoneticPr fontId="1" type="noConversion"/>
  </si>
  <si>
    <t>元数据盘</t>
    <phoneticPr fontId="1" type="noConversion"/>
  </si>
  <si>
    <t>元数据盘数</t>
    <phoneticPr fontId="1" type="noConversion"/>
  </si>
  <si>
    <t>硬盘策略</t>
    <phoneticPr fontId="1" type="noConversion"/>
  </si>
  <si>
    <t>非共享</t>
  </si>
  <si>
    <t>ZooKeeper</t>
    <phoneticPr fontId="1" type="noConversion"/>
  </si>
  <si>
    <t>namenode</t>
    <phoneticPr fontId="1" type="noConversion"/>
  </si>
  <si>
    <t>journalnode</t>
    <phoneticPr fontId="1" type="noConversion"/>
  </si>
  <si>
    <t>MySQL</t>
    <phoneticPr fontId="1" type="noConversion"/>
  </si>
  <si>
    <r>
      <t>不同方案</t>
    </r>
    <r>
      <rPr>
        <b/>
        <sz val="11"/>
        <color theme="1"/>
        <rFont val="宋体"/>
        <family val="3"/>
        <charset val="134"/>
        <scheme val="minor"/>
      </rPr>
      <t>最小节点数</t>
    </r>
    <r>
      <rPr>
        <sz val="11"/>
        <color theme="1"/>
        <rFont val="宋体"/>
        <family val="2"/>
        <scheme val="minor"/>
      </rPr>
      <t>要求：</t>
    </r>
    <phoneticPr fontId="1" type="noConversion"/>
  </si>
  <si>
    <t>根据方案选择自动更新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</si>
  <si>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服务选择</t>
    </r>
    <r>
      <rPr>
        <sz val="11"/>
        <color theme="1"/>
        <rFont val="宋体"/>
        <family val="2"/>
        <scheme val="minor"/>
      </rPr>
      <t>，记录</t>
    </r>
    <phoneticPr fontId="1" type="noConversion"/>
  </si>
  <si>
    <t>▽</t>
    <phoneticPr fontId="1" type="noConversion"/>
  </si>
  <si>
    <t>配置文件存储路径选择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</si>
  <si>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 xml:space="preserve">在执行生成配置文件操作之前，请确认如下配置是否完成：
</t>
    </r>
    <r>
      <rPr>
        <sz val="11"/>
        <color theme="1"/>
        <rFont val="宋体"/>
        <family val="3"/>
        <charset val="134"/>
        <scheme val="minor"/>
      </rPr>
      <t>（</t>
    </r>
    <r>
      <rPr>
        <sz val="11"/>
        <color theme="1"/>
        <rFont val="宋体"/>
        <family val="2"/>
        <scheme val="minor"/>
      </rPr>
      <t>1</t>
    </r>
    <r>
      <rPr>
        <sz val="11"/>
        <color theme="1"/>
        <rFont val="宋体"/>
        <family val="3"/>
        <charset val="134"/>
        <scheme val="minor"/>
      </rPr>
      <t>）基础配置界面，检查必填项：集群名称、配置方案、数据加密启用、SSL启用；</t>
    </r>
    <r>
      <rPr>
        <sz val="11"/>
        <color theme="1"/>
        <rFont val="宋体"/>
        <family val="2"/>
        <scheme val="minor"/>
      </rPr>
      <t xml:space="preserve">
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scheme val="minor"/>
      </rPr>
      <t>）节点信息界面，检查必填项：序列号、机架名称、IP地址、子网掩码、网关；
（3）服务选择界面，确认所要安装的服务是否都已经选择；
（4）磁盘配置界面，检查：每个节点的元数据盘数和数据盘数填写完成，并注意：元数据盘数和数据盘数之和必须等于节点的磁盘总数量。
确认完成后，请点击“生成配置文件”按钮，如果配置了上传路径，请确定是否上传到服务器：</t>
    </r>
    <phoneticPr fontId="1" type="noConversion"/>
  </si>
  <si>
    <t>*</t>
    <phoneticPr fontId="1" type="noConversion"/>
  </si>
  <si>
    <t>*</t>
    <phoneticPr fontId="1" type="noConversion"/>
  </si>
  <si>
    <t>Kerberos管理员用户名</t>
    <phoneticPr fontId="1" type="noConversion"/>
  </si>
  <si>
    <t>Kerberos管理员密码</t>
    <phoneticPr fontId="1" type="noConversion"/>
  </si>
  <si>
    <t>ldap管理员密码</t>
    <phoneticPr fontId="1" type="noConversion"/>
  </si>
  <si>
    <t>123456a?</t>
    <phoneticPr fontId="1" type="noConversion"/>
  </si>
  <si>
    <t>123456a?</t>
    <phoneticPr fontId="1" type="noConversion"/>
  </si>
  <si>
    <t>ldap base设置</t>
    <phoneticPr fontId="1" type="noConversion"/>
  </si>
  <si>
    <t>ldap 域设置</t>
    <phoneticPr fontId="1" type="noConversion"/>
  </si>
  <si>
    <t>fa:16:3e:94:64:31</t>
    <phoneticPr fontId="1" type="noConversion"/>
  </si>
  <si>
    <t>fa:16:3e:94:64:32</t>
  </si>
  <si>
    <t>fa:16:3e:94:64:33</t>
  </si>
  <si>
    <t>/default/rack0</t>
    <phoneticPr fontId="1" type="noConversion"/>
  </si>
  <si>
    <t>/default/rack1</t>
  </si>
  <si>
    <t>/default/rack2</t>
  </si>
  <si>
    <t>255.255.255.0</t>
  </si>
  <si>
    <t>255.255.255.0</t>
    <phoneticPr fontId="1" type="noConversion"/>
  </si>
  <si>
    <t>255.255.255.0</t>
    <phoneticPr fontId="1" type="noConversion"/>
  </si>
  <si>
    <t>192.168.1.254</t>
    <phoneticPr fontId="1" type="noConversion"/>
  </si>
  <si>
    <t>192.168.1.254</t>
    <phoneticPr fontId="1" type="noConversion"/>
  </si>
  <si>
    <t>10.100.1.12</t>
  </si>
  <si>
    <t>10.100.1.12</t>
    <phoneticPr fontId="1" type="noConversion"/>
  </si>
  <si>
    <t>kuduMaster</t>
    <phoneticPr fontId="1" type="noConversion"/>
  </si>
  <si>
    <t>数据盘数</t>
    <phoneticPr fontId="1" type="noConversion"/>
  </si>
  <si>
    <t>总数据盘数</t>
    <phoneticPr fontId="1" type="noConversion"/>
  </si>
  <si>
    <t>datanode</t>
    <phoneticPr fontId="1" type="noConversion"/>
  </si>
  <si>
    <t>1234567890a?</t>
    <phoneticPr fontId="1" type="noConversion"/>
  </si>
  <si>
    <t>Password should contain at least 9 symbols</t>
    <phoneticPr fontId="1" type="noConversion"/>
  </si>
  <si>
    <t>123456Aa?</t>
    <phoneticPr fontId="1" type="noConversion"/>
  </si>
  <si>
    <t>123456a?</t>
    <phoneticPr fontId="1" type="noConversion"/>
  </si>
  <si>
    <t>datadisk</t>
    <phoneticPr fontId="1" type="noConversion"/>
  </si>
  <si>
    <t>BMC是否开启</t>
    <phoneticPr fontId="1" type="noConversion"/>
  </si>
  <si>
    <t>192.168.1.254</t>
    <phoneticPr fontId="1" type="noConversion"/>
  </si>
  <si>
    <t>metadisk</t>
    <phoneticPr fontId="1" type="noConversion"/>
  </si>
  <si>
    <t>▽</t>
    <phoneticPr fontId="1" type="noConversion"/>
  </si>
  <si>
    <t>*</t>
    <phoneticPr fontId="1" type="noConversion"/>
  </si>
  <si>
    <t>BMC IP地址</t>
    <phoneticPr fontId="1" type="noConversion"/>
  </si>
  <si>
    <t>BMC 子网掩码</t>
  </si>
  <si>
    <t>BMC 网关</t>
    <phoneticPr fontId="1" type="noConversion"/>
  </si>
  <si>
    <t>10.100.1.12</t>
    <phoneticPr fontId="1" type="noConversion"/>
  </si>
  <si>
    <t>content</t>
    <phoneticPr fontId="1" type="noConversion"/>
  </si>
  <si>
    <t>\n        &lt;topology&gt;\n\n            &lt;gateway&gt;\n\n                &lt;provider&gt;\n                    &lt;role&gt;authentication&lt;/role&gt;\n                    &lt;name&gt;ShiroProvider&lt;/name&gt;\n                    &lt;enabled&gt;true&lt;/enabled&gt;\n                    &lt;param&gt;\n                        &lt;name&gt;sessionTimeout&lt;/name&gt;\n                        &lt;value&gt;30&lt;/value&gt;\n                    &lt;/param&gt;\n                    &lt;param&gt;\n                        &lt;name&gt;main.ldapRealm&lt;/name&gt;\n                        &lt;value&gt;org.apache.hadoop.gateway.shirorealm.KnoxLdapRealm&lt;/value&gt;\n                    &lt;/param&gt;\n                    &lt;param&gt;\n                        &lt;name&gt;main.ldapRealm.userDnTemplate&lt;/name&gt;\n                        &lt;value&gt;uid={0},ou=people,dc=hadoop,dc=apache,dc=org&lt;/value&gt;\n                    &lt;/param&gt;\n                    &lt;param&gt;\n                        &lt;name&gt;main.ldapRealm.contextFactory.url&lt;/name&gt;\n                        &lt;value&gt;ldap://{{knox_host_name}}:33389&lt;/value&gt;\n                    &lt;/param&gt;\n                    &lt;param&gt;\n                        &lt;name&gt;main.ldapRealm.contextFactory.authenticationMechanism&lt;/name&gt;\n                        &lt;value&gt;simple&lt;/value&gt;\n                    &lt;/param&gt;\n                    &lt;param&gt;\n                        &lt;name&gt;urls./**&lt;/name&gt;\n                        &lt;value&gt;authcBasic&lt;/value&gt;\n                    &lt;/param&gt;\n                &lt;/provider&gt;\n\n                &lt;provider&gt;\n                    &lt;role&gt;identity-assertion&lt;/role&gt;\n                    &lt;name&gt;Default&lt;/name&gt;\n                    &lt;enabled&gt;true&lt;/enabled&gt;\n                &lt;/provider&gt;\n\n                &lt;provider&gt;\n                    &lt;role&gt;authorization&lt;/role&gt;\n                    &lt;name&gt;AclsAuthz&lt;/name&gt;\n                    &lt;enabled&gt;true&lt;/enabled&gt;\n                &lt;/provider&gt;\n\n            &lt;/gateway&gt;\n\n            &lt;service&gt;\n                &lt;role&gt;NAMENODE&lt;/role&gt;\n                &lt;url&gt;hdfs://{{namenode_host}}:{{namenode_rpc_port}}&lt;/url&gt;\n            &lt;/service&gt;\n\n            &lt;service&gt;\n                &lt;role&gt;JOBTRACKER&lt;/role&gt;\n                &lt;url&gt;rpc://{{rm_host}}:{{jt_rpc_port}}&lt;/url&gt;\n            &lt;/service&gt;\n\n            &lt;service&gt;\n                &lt;role&gt;WEBHDFS&lt;/role&gt;\n                {{webhdfs_service_urls}}\n            &lt;/service&gt;\n\n            &lt;service&gt;\n                &lt;role&gt;WEBHCAT&lt;/role&gt;\n                &lt;url&gt;http://{{webhcat_server_host}}:{{templeton_port}}/templeton&lt;/url&gt;\n            &lt;/service&gt;\n\n            &lt;service&gt;\n                &lt;role&gt;OOZIE&lt;/role&gt;\n                &lt;url&gt;http://{{oozie_server_host}}:{{oozie_server_port}}/oozie&lt;/url&gt;\n            &lt;/service&gt;\n\n            &lt;service&gt;\n                &lt;role&gt;WEBHBASE&lt;/role&gt;\n                &lt;url&gt;http://{{hbase_master_host}}:{{hbase_master_port}}&lt;/url&gt;\n            &lt;/service&gt;\n\n            &lt;service&gt;\n                &lt;role&gt;HIVE&lt;/role&gt;\n                &lt;url&gt;http://{{hive_server_host}}:{{hive_http_port}}/{{hive_http_path}}&lt;/url&gt;\n            &lt;/service&gt;\n\n            &lt;service&gt;\n                &lt;role&gt;RESOURCEMANAGER&lt;/role&gt;\n                &lt;url&gt;http://{{rm_host}}:{{rm_port}}/ws&lt;/url&gt;\n            &lt;/service&gt;\n\n            &lt;service&gt;\n                &lt;role&gt;DRUID-COORDINATOR-UI&lt;/role&gt;\n                {{druid_coordinator_urls}}\n            &lt;/service&gt;\n\n            &lt;service&gt;\n                &lt;role&gt;DRUID-COORDINATOR&lt;/role&gt;\n                {{druid_coordinator_urls}}\n            &lt;/service&gt;\n\n            &lt;service&gt;\n                &lt;role&gt;DRUID-OVERLORD-UI&lt;/role&gt;\n                {{druid_overlord_urls}}\n            &lt;/service&gt;\n\n            &lt;service&gt;\n                &lt;role&gt;DRUID-OVERLORD&lt;/role&gt;\n                {{druid_overlord_urls}}\n            &lt;/service&gt;\n\n            &lt;service&gt;\n                &lt;role&gt;DRUID-ROUTER&lt;/role&gt;\n                {{druid_router_urls}}\n            &lt;/service&gt;\n\n            &lt;service&gt;\n                &lt;role&gt;DRUID-BROKER&lt;/role&gt;\n                {{druid_broker_urls}}\n            &lt;/service&gt;\n\n            &lt;service&gt;\n                &lt;role&gt;ZEPPELINUI&lt;/role&gt;\n                {{zeppelin_ui_urls}}\n            &lt;/service&gt;\n\n            &lt;service&gt;\n                &lt;role&gt;ZEPPELINWS&lt;/role&gt;\n                {{zeppelin_ws_urls}}\n            &lt;/service&gt;\n\n        &lt;/topology&gt;</t>
    <phoneticPr fontId="1" type="noConversion"/>
  </si>
  <si>
    <t>MySQL ROOT密码</t>
    <phoneticPr fontId="1" type="noConversion"/>
  </si>
  <si>
    <t>MySQL keycloak密码</t>
    <phoneticPr fontId="1" type="noConversion"/>
  </si>
  <si>
    <t>*</t>
    <phoneticPr fontId="1" type="noConversion"/>
  </si>
  <si>
    <t>123456Aa?</t>
    <phoneticPr fontId="1" type="noConversion"/>
  </si>
  <si>
    <t>123456Aa?</t>
    <phoneticPr fontId="1" type="noConversion"/>
  </si>
  <si>
    <t>INFRA_SOLR_CLIENT</t>
    <phoneticPr fontId="1" type="noConversion"/>
  </si>
  <si>
    <t>HBASE_CLIENT</t>
    <phoneticPr fontId="1" type="noConversion"/>
  </si>
  <si>
    <t>MAPREDUCE2_CLIENT</t>
    <phoneticPr fontId="1" type="noConversion"/>
  </si>
  <si>
    <t>HDFS_CLIENT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</si>
  <si>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</si>
  <si>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</si>
  <si>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</si>
  <si>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</si>
  <si>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</si>
  <si>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</si>
  <si>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YARN_CLIENT</t>
    <phoneticPr fontId="1" type="noConversion"/>
  </si>
  <si>
    <t>MAPREDUCE2_CLIENT</t>
    <phoneticPr fontId="1" type="noConversion"/>
  </si>
  <si>
    <t>HBASE_CLIENT</t>
    <phoneticPr fontId="1" type="noConversion"/>
  </si>
  <si>
    <t>INFRA_SOLR_CLIENT</t>
    <phoneticPr fontId="1" type="noConversion"/>
  </si>
  <si>
    <t>YARN_CLIENT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</si>
  <si>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</si>
  <si>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</si>
  <si>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</si>
  <si>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</si>
  <si>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</si>
  <si>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MAPREDUCE2_CLIENT</t>
    <phoneticPr fontId="1" type="noConversion"/>
  </si>
  <si>
    <t>MAPREDUCE2_CLIENT</t>
    <phoneticPr fontId="1" type="noConversion"/>
  </si>
  <si>
    <t>HBASE_CLIENT</t>
    <phoneticPr fontId="1" type="noConversion"/>
  </si>
  <si>
    <t>HIVE_CLIENT</t>
    <phoneticPr fontId="1" type="noConversion"/>
  </si>
  <si>
    <t>SPARK2_CLIENT</t>
    <phoneticPr fontId="1" type="noConversion"/>
  </si>
  <si>
    <t>SPARK2_CLIENT</t>
    <phoneticPr fontId="1" type="noConversion"/>
  </si>
  <si>
    <t>INFRA_SOLR_CLIENT</t>
    <phoneticPr fontId="1" type="noConversion"/>
  </si>
  <si>
    <t>INFRA_SOLR_CLIENT</t>
    <phoneticPr fontId="1" type="noConversion"/>
  </si>
  <si>
    <t>*</t>
    <phoneticPr fontId="1" type="noConversion"/>
  </si>
  <si>
    <t>大数据平台应用数据库密码</t>
    <phoneticPr fontId="1" type="noConversion"/>
  </si>
  <si>
    <t>idap</t>
    <phoneticPr fontId="1" type="noConversion"/>
  </si>
  <si>
    <t>root</t>
    <phoneticPr fontId="1" type="noConversion"/>
  </si>
  <si>
    <t>dc = indata</t>
    <phoneticPr fontId="1" type="noConversion"/>
  </si>
  <si>
    <t>hive</t>
    <phoneticPr fontId="1" type="noConversion"/>
  </si>
  <si>
    <t>方案3：MN&amp;CN&amp;DN</t>
  </si>
  <si>
    <t>安装模式</t>
    <phoneticPr fontId="1" type="noConversion"/>
  </si>
  <si>
    <t>▽</t>
    <phoneticPr fontId="1" type="noConversion"/>
  </si>
  <si>
    <t>▽</t>
    <phoneticPr fontId="1" type="noConversion"/>
  </si>
  <si>
    <t>1.已有节点
2.物理裸机</t>
    <phoneticPr fontId="1" type="noConversion"/>
  </si>
  <si>
    <t>填写说明</t>
    <phoneticPr fontId="1" type="noConversion"/>
  </si>
  <si>
    <t>注意：勿插入、删除任何行、列</t>
    <phoneticPr fontId="1" type="noConversion"/>
  </si>
  <si>
    <t>待填写的项</t>
    <phoneticPr fontId="1" type="noConversion"/>
  </si>
  <si>
    <t>自动计算项</t>
    <phoneticPr fontId="1" type="noConversion"/>
  </si>
  <si>
    <t>勿修改项</t>
    <phoneticPr fontId="1" type="noConversion"/>
  </si>
  <si>
    <t xml:space="preserve">cp -r ./*.json /var/www/cobbler/pub/
json_path_1='./nodesinfo.json'
count=`jq '.[].ip' $json_path_1 | wc -l`
for((i=0;i&lt;$count;i++))
do
    mac=`jq ".[$i].mac" $json_path_1 | tr -d '"'`
    ip=`jq ".[$i].ip" $json_path_1 | tr -d '"'`
    echo "dhcp-host=net:x86_64,"$mac","$ip &gt;&gt;/etc/dnsmasq.conf
done
systemctl restart dnsmasq.service
if [ $? -eq 0 ];then
    echo "change /etc/dnsmasq.conf successfully"
else
    echo "change /etc/dnsmasq.conf faild"
fi
json_path='./diskpartition.json'
count=`jq '.[].ip' $json_path | wc -l`
native_ip=`ip a | awk '/ scope global /{print $2}' | awk -F '/' '{print $1}'`
echo "GET local ip:"$native_ip
arcconf list | grep "Controllers found: 0"
if [ $? -ne 0 ];then
    #raid controller number
    raid_controller=`arcconf list | awk '/:   /{print $2}' | awk -F: '{print $1}'`
    #get all SAS PD
    device_type=`arcconf GETCONFIG $raid_controller PD | awk '/Programmed Max Speed/{print $5}'`
    SAS_count=`arcconf GETCONFIG $raid_controller PD | awk '/Programmed Max Speed               : SAS/' | awk 'END{print NR}'`
    SATA_count=`arcconf GETCONFIG $raid_controller PD | awk '/Programmed Max Speed               : SATA/' | awk 'END{print NR}'`
    channel=`arcconf GETCONFIG $raid_controller PD | awk '/Reported Channel/' | awk -F: '{print $3}' | awk -F '(' '{print $1}' | awk -F ',' 'NR==1{print $1}'`
    device_string=`arcconf GETCONFIG $raid_controller PD | awk '/Reported Channel/' | awk -F: '{print $3}' | awk -F '(' '{print $1}' | awk -F ',' '{print $2}'`
    devices=($device_string)
fi
for((i=0;i&lt;$count;i++))
do
    ip=`jq ".[$i].ip" $json_path | tr -d '"'`
    if [[ $ip == "$native_ip" ]];then
        metadata=`jq ".[$i].metadata" $json_path`
        namenode=`jq ".[$i].namenode" $json_path`
        zookeeper=`jq ".[$i].zookeeper" $json_path`
        journalnode=`jq ".[$i].journalnode" $json_path`
        mysql=`jq ".[$i].mysql" $json_path`
        kudu_master=`jq ".[$i].kudu_master" $json_path`
        data=`jq ".[$i].data" $json_path`
        datanode=`jq ".[$i].datanode" $json_path`
        kafka=`jq ".[$i].kafka" $json_path`
        elasticsearch=`jq ".[$i].elasticsearch" $json_path`
        nifi=`jq ".[$i].nifi" $json_path`
        kudu_tserver=`jq ".[$i].kudu_tserver" $json_path`
        break
    fi
done
#get valid meta and mkdir meta dir
ii=0
mate_count=$[namenode+zookeeper+journalnode+mysql+kudu_master]
if [ $namenode -eq 1 ];then
    vaild_mate[$ii]='namenode'
    echo "CMD: mkdir -p /srv/indata/metadata/namenode"
    mkdir -p /srv/indata/metadata/namenode
    ii=$[ii+1]
fi
if [ $zookeeper -eq 1 ];then
    vaild_mate[$ii]='zookeeper'
    echo "CMD: mkdir -p /srv/indata/metadata/zookeeper"
    mkdir -p /srv/indata/metadata/zookeeper
    ii=$[ii+1]
fi
if [ $journalnode -eq 1 ];then
    vaild_mate[$ii]='journalnode'
    echo "CMD: mkdir -p /srv/indata/metadata/journalnode"
    mkdir -p /srv/indata/metadata/journalnode
    ii=$[ii+1]
fi
if [ $mysql -eq 1 ];then
    vaild_mate[$ii]='mysql'
    echo "CMD: mkdir -p /srv/indata/metadata/mysql"
    mkdir -p /srv/indata/metadata/mysql
    ii=$[ii+1]
fi
if [ $kudu_master -eq 1 ];then
    vaild_mate[$ii]='kudu_master'
    echo "CMD: mkdir -p /srv/indata/metadata/kudu_master"
    mkdir -p /srv/indata/metadata/kudu_master
    ii=$[ii+1]
fi
#mk data dir
data_count=$[datanode+kafka+elasticsearch+nifi+kudu_tserver]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data_begin=1
#if SATA==0 only mkdir
if [ $SATA_count -eq 0 ];then
    echo "there is no SATA device"
    mkdatadir;
#if SATA==1 only one device
elif [ $SATA_count -eq 1 ];then
    echo "there is only one SATA device"
    device=${devices[$SAS_count]}
    if [ $SAS_count -eq 0 ];then
        echo "there is no SAS device make the one SATA volume type"
        echo "CMD: arcconf CREATE $raid_controller LOGICALDRIVE max volume $channel $device noprompt"
        arcconf CREATE $raid_controller LOGICALDRIVE max volume $channel $device noprompt
    else
        echo "make the one SATA jbod type"
        echo "CMD: arcconf UNINIT $raid_controller $channel $device noprompt"
        arcconf UNINIT $raid_controller $channel $device noprompt
    fi
    xfs_device=`fdisk -l | grep "Disk /dev" | grep -v "lv_" | grep -v "mapper" | awk "NR==2" | awk '{print $2}' | awk -F: '{print $1}'`
    echo "CMD: mkfs.xfs $xfs_device"
    mkfs.xfs $xfs_device
    mkdatadir;
    echo $xfs_device "/srv/indata xfs defaults 0 0"&gt;&gt; /etc/fstab
#if SATA&gt;1
elif [ $SATA_count -gt 1 ];then
    echo "there is more than one SATA device"
    #every meta have Stand-alone disk
    if [ $metadata -eq $mate_count ];then
        echo "mate device count eqal component count"
        for((check=$SAS_count,i=0;i&lt;$[metadata];check++,i++))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    xfs_device=`fdisk -l | grep "Disk /dev" | grep -v "lv_" |  grep -v "mapper" | awk "NR==$[2+i]" | awk '{print $2}' | awk -F: '{print $1}'`
            echo "CMD: mkfs.xfs $xfs_device"
            mkfs.xfs $xfs_device
            echo $xfs_device "/srv/indata/metadata/"${vaild_mate[$i]} "xfs defaults 0 0"&gt;&gt; /etc/fstab
        done
        data_begin=$[metadata+2]
    #all meta share disk
    elif [ $metadata -lt $mate_count ];then
        echo "mate device count less than component count"
        meta_device=""
        for((check=$SAS_count;check&lt;$[metadata+SAS_count];check++))
        do
            meta_device=$meta_device" "$channel" "${devices[$check]}
        done
        echo "make $meta_device raid 0 "
        if [[ $metadata -eq 1 &amp;&amp; $SAS_count -eq 0 ]];then
            echo "CMD: arcconf CREATE $raid_controller LOGICALDRIVE max volume $meta_device noprompt"
            arcconf CREATE $raid_controller LOGICALDRIVE max volume $meta_device noprompt
        elif [[ $metadata -eq 1 &amp;&amp; $SAS_count -ne 0 ]];then
            echo "CMD: arcconf UNINIT $raid_controller $meta_device noprompt"
            arcconf UNINIT $raid_controller $meta_device noprompt
        else
            echo "CMD: arcconf CREATE $raid_controller LOGICALDRIVE max 0 $meta_device noprompt"
            arcconf CREATE $raid_controller LOGICALDRIVE max 0 $meta_device noprompt
        fi
        xfs_device=`fdisk -l | grep "Disk /dev" | grep -v "lv_" |  grep -v "mapper" | awk "NR==2" | awk '{print $2}' | awk -F: '{print $1}'`
        echo "CMD: mkfs.xfs $xfs_device"
        mkfs.xfs $xfs_device
        echo $xfs_device "/srv/indata/metadata xfs defaults 0 0"&gt;&gt; /etc/fstab
        data_begin=3
    else 
        exit 4
    fi
    #data
    #if data==0 nothing to do
    if [ $data -eq 0 ];then
        echo "there is no data, nothing to do"
    #if data==1 share disk
    elif [ $data -eq 1 ];then
        echo "there is one data"
        if [ $SAS_count -eq 0 ];then
            echo "CMD: arcconf CREATE $raid_controller LOGICALDRIVE max volume $channel ${devices[$[metadata+SAS_count]]} noprompt"
            arcconf CREATE $raid_controller LOGICALDRIVE max volume $channel ${devices[$[metadata+SAS_count]]} noprompt
        else
            echo "CMD: arcconf UNINIT $raid_controller $channel ${devices[$[metadata+SAS_count]]} noprompt"
            arcconf UNINIT $raid_controller $channel ${devices[$[metadata+SAS_count]]} noprompt
        fi
        xfs_device=`fdisk -l | grep "Disk /dev" | grep -v "lv_" |  grep -v "mapper" | awk "NR==$data_begin" | awk '{print $2}' | awk -F: '{print $1}'`
        echo "CMD: mkfs.xfs $xfs_device"
        mkfs.xfs $xfs_device
        mkdatadir;
        echo $xfs_device "/srv/indata/data xfs defaults 0 0"&gt;&gt; /etc/fstab 
    elif [ $data_count -eq $data ];then
        echo "all data component have at least one disk"
        for((check=$[metadata+SAS_count];check&lt;$[metadata+SAS_count+data];check++))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done
        ##core
        if [ $datanode -ne 0 ];then
            for((j=1,i=$data_begin;i&lt;$[datanode+data_begin];i++,j++))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"/srv/indata/data/datanode_"$j" xfs defaults 0 0"&gt;&gt; /etc/fstab
            done
            data_begin=$[data_begin+datanode]
        fi
        if [ $kafka -ne 0 ];then
            for((j=1,i=$data_begin;i&lt;$[kafka+data_begin];i++,j++))
            do
                xfs_device=`fdisk -l | grep "Disk /dev" | grep -v "lv_" | grep -v "mapper" | awk "NR==$i" | awk '{print $2}' | awk -F: '{print $1}'`
                echo "CMD: mkfs.xfs $xfs_device"
                mkfs.xfs $xfs_device
                echo $xfs_device "/srv/indata/data/kafka_"$j" xfs defaults 0 0"&gt;&gt; /etc/fstab
            done
            data_begin=$[data_begin+kafka]
        fi
        if [ $elasticsearch -ne 0 ];then
            for((j=1,i=$data_begin;i&lt;$[elasticsearch+data_begin];i++,j++))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"/srv/indata/data/elasticsearch_"$j" xfs defaults 0 0"&gt;&gt; /etc/fstab
            done
            data_begin=$[data_begin+elasticsearch]
        fi
        if [ $nifi -ne 0 ];then
            for((j=1,i=$data_begin;i&lt;$[nifi+data_begin];i++,j++))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"/srv/indata/data/nifi_"$j" xfs defaults 0 0"&gt;&gt; /etc/fstab
            done
            data_begin=$[data_begin+nifi]
        fi
        if [ $kudu_tserver -ne 0 ];then
            for((j=1,i=$data_begin;i&lt;$[kudu_tserver+data_begin];i++,j++))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"/srv/indata/data/kudu_tserver_"$j" xfs defaults 0 0"&gt;&gt; /etc/fstab
            done
        fi
    else
        echo "all data component share disk"
        meta_device=""
        for((check=$[metadata+SAS_count];check&lt;$[metadata+SAS_count+data];check++))
        do
            meta_device=$meta_device" "$channel" "${devices[$check]}
        done
        echo "CMD: arcconf CREATE $raid_controller LOGICALDRIVE max 0 $meta_device noprompt"
        arcconf CREATE $raid_controller LOGICALDRIVE max 0 $meta_device noprompt
        xfs_device=`fdisk -l | grep "Disk /dev" | grep -v "lv_" |  grep -v "mapper" | awk "NR==$data_begin" | awk '{print $2}' | awk -F: '{print $1}'`
        mkfs.xfs $xfs_device
        echo $xfs_device "/srv/indata/data xfs defaults 0 0"&gt;&gt; /etc/fstab
    fi
fi
mount -a
if [ $namenode -eq 1 ];then
    echo "CMD: mkdir -p /srv/indata/metadata/namenode"
    mkdir -p /srv/indata/metadata/namenode
fi
if [ $zookeeper -eq 1 ];then
    echo "CMD: mkdir -p /srv/indata/metadata/zookeeper"
    mkdir -p /srv/indata/metadata/zookeeper
fi
if [ $journalnode -eq 1 ];then
    echo "CMD: mkdir -p /srv/indata/metadata/journalnode"
    mkdir -p /srv/indata/metadata/journalnode
fi
if [ $mysql -eq 1 ];then
    echo "CMD: mkdir -p /srv/indata/metadata/mysql"
    mkdir -p /srv/indata/metadata/mysql
fi
if [ $kudu_master -eq 1 ];then
    echo "CMD: mkdir -p /srv/indata/metadata/kudu_master"
    mkdir -p /srv/indata/metadata/kudu_master
fi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echo "task completed!"
</t>
    <phoneticPr fontId="1" type="noConversion"/>
  </si>
  <si>
    <t xml:space="preserve">#!/bin/bash
ansible_dir_root="/opt/deployer-ansible"
ansible_dir="$ansible_dir_root/ansible_playbook_roles"
config_dir="/opt/indata_config"
indata_log_dir="/var/log/indata"
ether_name="eth0"
ip=$(ifconfig $ether_name | grep "inet " | awk '{ print $2}')
ambari_user="admin"
ambari_user_pwd="admin"
ambari_url="http://"$ip":8080/api/v1"
function playbook_exec_result()  
{  
  hostnames=$(cat $config_dir/pxe/nodesinfo.json | jq '.[].hostname' | xargs)
  num=1
  for hostname in $hostnames
  do
    num=$[$num+1]
  done
  num=$[$num+1]
  success_num=$(tail -$num $1 | grep 'failed=0' | wc -l)
  total_num=$(tail -$num $1 | grep 'failed=' | wc -l)
  if [ "$success_num" -eq "$total_num" ]
  then
    return 1
  else
    return 0
  fi
}
function indata_depoly_step1()
{
  python $ansible_dir_root/env.py $ip
  yum list installed | grep jq
  if [ $? -ne 0 ]
  then
    yum -y install jq.x86_64
  fi
  #判断/var/log/indata目录是否存在，不存在则创建
  if [ ! -d "$indata_log_dir" ]
  then
    mkdir -p "$indata_log_dir"
  fi
  #自动生成ansible playbook运行前所需要的文件
  cd $ansible_dir
  python $ansible_dir/build_ansible.py $config_dir/ansible/newcluster.json $ansible_dir_root/repos.json
  #自动化安装部署ambari、prometheus、grafana、consul、keycloak等基础服务
  echo "----------基础服务安装开始（注意：安装过程持续一段时间，请耐心等待！）----------"
  echo "----------基础服务安装开始（注意：安装过程持续一段时间，请耐心等待！）----------" &gt; $indata_log_dir/indata.log
  ansible-playbook -i $ansible_dir/hosts/newcluster_json $ansible_dir/deploy.yml &gt; $indata_log_dir/deploy.log
  playbook_exec_result $indata_log_dir/deploy.log
  if [ $? -ne 0 ]
  then
    echo "----------基础服务安装结束----------"
    echo "----------基础服务安装结束----------" &gt;&gt; $indata_log_dir/indata.log
    echo "step1:success" &gt; /tmp/.indata_deploy.txt
  else
    echo "----------基础服务安装异常，具体请查看$indata_log_dir/deploy.log文件分析----------"
    echo "----------基础服务安装异常，具体请查看$indata_log_dir/deploy.log文件分析----------" &gt;&gt; $indata_log_dir/indata.log
    echo "step1:fail" &gt; /tmp/.indata_deploy.txt
    exit
  fi
}
function indata_depoly_step2()
{
  ansible-playbook -i $ansible_dir/hosts/newcluster_json $ansible_dir/blueprint.yml &gt; $indata_log_dir/blueprint.log
  playbook_exec_result $indata_log_dir/blueprint.log
  if [ $? -ne 0 ]
  then
    echo "----------大数据集群安装正常启动----------"
    echo "----------大数据集群安装正常启动----------" &gt;&gt; $indata_log_dir/indata.log
    echo "step2:success" &gt;&gt; /tmp/.indata_deploy.txt
  else
    echo "----------大数据集群安装启动异常，具体请查看$indata_log_dir/blueprint.log文件分析----------"
    echo "----------大数据集群安装启动异常，具体请查看$indata_log_dir/blueprint.log文件分析----------" &gt;&gt; $indata_log_dir/indata.log
    echo "step2:fail" &gt;&gt; /tmp/.indata_deploy.txt
    exit
  fi
}
function indata_depoly_step3()
{
  echo "----------大数据集群安装开始----------"
  sleep 60
  file="/tmp/blueprint.result"
  href=$(jq -r '.href' $file)
  result=true
  while $result
  do
    status=$(curl -s -u "$ambari_user":"$ambari_user_pwd" -H 'X-Requested-By: ambari' $href | jq -r '.Requests.request_status')
    if [ "$status" = "IN_PROGRESS" ]
    then
      result=true
      echo "----------大数据集群安装中，请耐心等待或登录http://"$ip":8080查看安装进度！----------"
      echo "----------大数据集群安装中，请耐心等待或登录http://"$ip":8080查看安装进度！----------" &gt;&gt; $indata_log_dir/indata.log
    elif [ "$status" = "COMPLETED" ]
    then
      result=false
      echo "----------大数据集群安装结束----------"
      echo "----------大数据集群安装结束----------" &gt;&gt; $indata_log_dir/indata.log
      echo "step3:success" &gt;&gt; /tmp/.indata_deploy.txt
    elif [ "$status" = "FAILED" ]
    then
      result=false
      echo "----------大数据集群安装失败，请登录http://"$ip":8080进行分析！----------"
      echo "----------大数据集群安装失败，请登录http://"$ip":8080进行分析！----------" &gt;&gt; $indata_log_dir/indata.log
      echo "step3:success" &gt;&gt; /tmp/.indata_deploy.txt
    elif [ "$status" = "ABORTED" ]
    then
      result=false
      echo "----------大数据集群安装异常终止，请登录http://"$ip":8080进行分析！----------"
      echo "----------大数据集群安装异常终止，请登录http://"$ip":8080进行分析！----------" &gt;&gt; $indata_log_dir/indata.log
      echo "step3:success" &gt;&gt; /tmp/.indata_deploy.txt
    elif [ "$status" = "TIMEDOUT" ]
    then
      result=false
      echo "----------大数据集群安装超时，请登录http://"$ip":8080进行分析！----------"
      echo "----------大数据集群安装超时，请登录http://"$ip":8080进行分析！----------" &gt;&gt; $indata_log_dir/indata.log
      echo "step3:success" &gt;&gt; /tmp/.indata_deploy.txt
    else
      result=false
      echo "----------大数据集群安装发生异常，请登录http://"$ip":8080进行分析！----------"
      echo "----------大数据集群安装发生异常，请登录http://"$ip":8080进行分析！----------" &gt;&gt; $indata_log_dir/indata.log
      echo "step3:error" &gt;&gt; /tmp/.indata_deploy.txt
      exit
    fi
    sleep 20
  done
}
function indata_depoly_step4()
{
  #物理机环境大数据集群主机节点机架感知自动配置
  cluster_json=$(curl -s -u "$ambari_user":"$ambari_user_pwd" -H 'X-Requested-By: ambari' http://"$ip":8080/api/v1/clusters)
  echo $cluster_json &gt; /tmp/cluster_name.json
  cluster_name=$(cat /tmp/cluster_name.json | jq -r '.items[0].Clusters.cluster_name')
  hostnames=$(cat $config_dir/pxe/nodesinfo.json | jq '.[].hostname' | xargs)
  racks=$(cat $config_dir/pxe/nodesinfo.json | jq '.[].rack' | xargs)
  cat $config_dir/pxe/nodesinfo.json | jq '.[].rack' | grep null &gt; /dev/null 2&gt;&amp;1 
  if [ $? -ne 0 ]
  then
    i=1
    for hostname in $hostnames
    do
      j=1
      for rack in $racks
      do
        if [ $j -eq $i ]
        then
          json='{"Hosts" : {"rack_info" : "'$rack'"}}'
          curl -u "$ambari_user":"$ambari_user_pwd" -H 'X-Requested-By: ambari' -X PUT -d "$json" http://$ip:8080/api/v1/clusters/$cluster_name/hosts/$hostname
        fi
        j=$[$j+1]
      done
      i=$[$i+1]
    done
  fi
  echo "step4:success" &gt;&gt; /tmp/.indata_deploy.txt
}
function indata_depoly_step5()
{
  echo "----------大数据集群服务组件配置开始----------"
  echo "----------大数据集群服务组件配置开始----------" &gt;&gt; $indata_log_dir/indata.log
  ansible-playbook -i $ansible_dir/hosts/newcluster_json $ansible_dir/indata.yml &gt; $indata_log_dir/indata.log
  playbook_exec_result $indata_log_dir/indata.log
  if [ $? -ne 0 ]
  then
    echo "----------大数据集群服务组件配置结束----------"
    echo "----------大数据集群服务组件配置结束----------" &gt;&gt; $indata_log_dir/indata.log
    echo "step5:success" &gt;&gt; /tmp/.indata_deploy.txt
  else
   echo "----------大数据集群服务组件配置异常，具体请查看$indata_log_dir/indata.log文件分析----------"
   echo "----------大数据集群服务组件配置异常，具体请查看$indata_log_dir/indata.log文件分析----------" &gt;&gt; $indata_log_dir/indata.log
   echo "step5:fail" &gt;&gt; /tmp/.indata_deploy.txt
   exit
  fi
}
function indata_depoly_step6()
{
  cluster_json=$(curl -s -u "$ambari_user":"$ambari_user_pwd" -H 'X-Requested-By: ambari' http://"$ip":8080/api/v1/clusters)
  echo $cluster_json &gt; /tmp/cluster_name.json
  cluster_name=$(cat /tmp/cluster_name.json | jq -r '.items[0].Clusters.cluster_name')
  sed -i "s/Cluster_Name/$cluster_name/g" $config_dir/start_all_services.json
  curl -u "$ambari_user":"$ambari_user_pwd" -H 'X-Requested-By: ambari' -X PUT -d "@$config_dir/start_all_services.json" http://$ip:8080/api/v1/clusters/$cluster_name/services
  curl -u "$ambari_user":"$ambari_user_pwd" -H 'X-Requested-By: ambari' -X POST -d "@$config_dir/restart_required_services.json" http://$ip:8080/api/v1/clusters/$cluster_name/requests
  sed -i "s/$cluster_name/Cluster_Name/g" $config_dir/start_all_services.json
  echo "----------大数据集群服务全部启动开始，请登录http://"$ip":8080查看启动进度！----------"
  echo "----------大数据集群服务全部启动开始，请登录http://"$ip":8080查看启动进度！----------" &gt;&gt; $indata_log_dir/indata.log
  echo "step6:success" &gt;&gt; /tmp/.indata_deploy.txt
}
function indata_depoly_step7()
{
  echo "----------大数据平台应用参数自动配置开始----------"
  echo "----------大数据平台应用参数自动配置开始----------" &gt;&gt; $indata_log_dir/indata.log
  ansible-playbook -i $ansible_dir/hosts/newcluster_json $ansible_dir/indata_sql.yml &gt; $indata_log_dir/indata_sql.log
  playbook_exec_result $indata_log_dir/indata_sql.log
  if [ $? -ne 0 ]
  then
    echo "----------大数据平台应用参数自动配置结束----------"
    echo "----------大数据平台应用参数自动配置结束----------" &gt;&gt; $indata_log_dir/indata.log
    echo "step7:success" &gt;&gt; /tmp/.indata_deploy.txt
  else
   echo "----------大数据平台应用参数自动配置异常，具体请查看$indata_log_dir/indata_sql.log文件分析----------"
   echo "----------大数据平台应用参数自动配置异常，具体请查看$indata_log_dir/indata_sql.log文件分析----------" &gt;&gt; $indata_log_dir/indata.log
   echo "step7:fail" &gt;&gt; /tmp/.indata_deploy.txt
   exit
  fi
}
if [ ! -f "/tmp/.indata_deploy.txt" ]
then
  for i in `seq 1 7`
  do
    indata_depoly_step$i
  done
else
  step=$(tail -1 /tmp/.indata_deploy.txt | awk -F ":" {'print $1'})
  step=${step:4}
  status=$(tail -1 /tmp/.indata_deploy.txt | awk -F ":" {'print $2'})
  if [ "$status" = "fail" ]
  then
    step=$((step))
    for i in `seq $step 7`
    do
      indata_depoly_step$i
    done
  fi
fi
</t>
    <phoneticPr fontId="1" type="noConversion"/>
  </si>
  <si>
    <t>init.sh</t>
    <phoneticPr fontId="1" type="noConversion"/>
  </si>
  <si>
    <t>indata_deploy.sh</t>
    <phoneticPr fontId="1" type="noConversion"/>
  </si>
  <si>
    <t>restart_required_services.json</t>
    <phoneticPr fontId="1" type="noConversion"/>
  </si>
  <si>
    <t>start_all_services.json</t>
    <phoneticPr fontId="1" type="noConversion"/>
  </si>
  <si>
    <t>1.管理节点和控制节点合设，数据节点分设，此方案至少需要6个节点
2.管理节点、控制节点、数据节点分设，此方案至少需要8个节点
3.管理节点、控制节点、数据节点合设（如果硬盘数不够，选择此套餐进行并区。），此方案至少需要3个节点</t>
    <phoneticPr fontId="1" type="noConversion"/>
  </si>
  <si>
    <t>已有节点</t>
  </si>
  <si>
    <t>N</t>
    <phoneticPr fontId="1" type="noConversion"/>
  </si>
  <si>
    <t>eth0</t>
    <phoneticPr fontId="1" type="noConversion"/>
  </si>
  <si>
    <t>indata</t>
    <phoneticPr fontId="1" type="noConversion"/>
  </si>
  <si>
    <t>indata.com</t>
    <phoneticPr fontId="1" type="noConversion"/>
  </si>
  <si>
    <t>123456a?</t>
    <phoneticPr fontId="1" type="noConversion"/>
  </si>
  <si>
    <t>INDATA.COM</t>
    <phoneticPr fontId="1" type="noConversion"/>
  </si>
  <si>
    <t>dc=indata,dc=com</t>
    <phoneticPr fontId="1" type="noConversion"/>
  </si>
  <si>
    <t>Ranger管理员密码</t>
    <phoneticPr fontId="1" type="noConversion"/>
  </si>
  <si>
    <t>C:\Users\kanbaoduo\Desktop</t>
    <phoneticPr fontId="1" type="noConversion"/>
  </si>
  <si>
    <t>172.16.1.130</t>
    <phoneticPr fontId="1" type="noConversion"/>
  </si>
  <si>
    <t>172.16.1.43</t>
    <phoneticPr fontId="1" type="noConversion"/>
  </si>
  <si>
    <t xml:space="preserve">  {
    "RequestInfo": {
        "command": "RESTART",
        "context": "Restart all required services",
        "operation_level": "host_component"
    },
    "Requests/resource_filters": [
        {
            "hosts_predicate": "HostRoles/stale_configs:true"
        }
    ]
}
</t>
    <phoneticPr fontId="1" type="noConversion"/>
  </si>
  <si>
    <t xml:space="preserve">  {
    "RequestInfo": {
        "context": "_PARSE_.START.ALL_SERVICES",
        "operation_level": {
            "level": "CLUSTER",
            "cluster_name": "Cluster_Name"
        }
    },
    "Body": {
        "ServiceInfo": {
            "state": "STARTED"
        }
    }
}
</t>
    <phoneticPr fontId="1" type="noConversion"/>
  </si>
  <si>
    <t>172.16.1.11</t>
    <phoneticPr fontId="1" type="noConversion"/>
  </si>
  <si>
    <t>172.16.1.36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</si>
</sst>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2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20"/>
      <color theme="8" tint="-0.249977111117893"/>
      <name val="华文细黑"/>
      <family val="3"/>
      <charset val="134"/>
    </font>
    <font>
      <sz val="11"/>
      <name val="宋体"/>
      <family val="3"/>
      <charset val="134"/>
      <scheme val="minor"/>
    </font>
    <font>
      <sz val="16"/>
      <color rgb="FF000000"/>
      <name val="宋体"/>
      <family val="3"/>
      <charset val="134"/>
    </font>
    <font>
      <b/>
      <i/>
      <sz val="14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28"/>
      <color rgb="FF000000"/>
      <name val="宋体"/>
      <family val="3"/>
      <charset val="134"/>
    </font>
    <font>
      <sz val="12"/>
      <name val="宋体"/>
      <family val="3"/>
      <charset val="134"/>
    </font>
    <font>
      <sz val="12"/>
      <name val="华文细黑"/>
      <family val="3"/>
      <charset val="134"/>
    </font>
    <font>
      <b/>
      <sz val="12"/>
      <color rgb="FFFF0000"/>
      <name val="华文细黑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theme="3" tint="0.3999755851924192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/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</cellStyleXfs>
  <cellXfs count="152">
    <xf numFmtId="0" fontId="0" fillId="0" borderId="0" xfId="0"/>
    <xf numFmtId="0" fontId="2" fillId="4" borderId="1" xfId="0" applyFont="1" applyFill="1" applyBorder="1"/>
    <xf numFmtId="0" fontId="3" fillId="2" borderId="5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5" fillId="3" borderId="4" xfId="0" applyFont="1" applyFill="1" applyBorder="1"/>
    <xf numFmtId="0" fontId="4" fillId="3" borderId="6" xfId="0" applyFont="1" applyFill="1" applyBorder="1" applyAlignment="1">
      <alignment horizontal="center" vertical="center"/>
    </xf>
    <xf numFmtId="0" fontId="5" fillId="2" borderId="4" xfId="0" applyFont="1" applyFill="1" applyBorder="1"/>
    <xf numFmtId="0" fontId="5" fillId="3" borderId="6" xfId="0" applyFont="1" applyFill="1" applyBorder="1"/>
    <xf numFmtId="0" fontId="5" fillId="2" borderId="3" xfId="0" applyFont="1" applyFill="1" applyBorder="1"/>
    <xf numFmtId="0" fontId="3" fillId="2" borderId="7" xfId="0" applyFont="1" applyFill="1" applyBorder="1"/>
    <xf numFmtId="0" fontId="4" fillId="2" borderId="8" xfId="0" applyFont="1" applyFill="1" applyBorder="1" applyAlignment="1">
      <alignment horizontal="center" vertical="center"/>
    </xf>
    <xf numFmtId="0" fontId="5" fillId="2" borderId="9" xfId="0" applyFont="1" applyFill="1" applyBorder="1"/>
    <xf numFmtId="0" fontId="5" fillId="3" borderId="0" xfId="0" applyFont="1" applyFill="1" applyBorder="1"/>
    <xf numFmtId="0" fontId="5" fillId="3" borderId="4" xfId="0" applyFont="1" applyFill="1" applyBorder="1" applyAlignment="1">
      <alignment horizontal="left" vertical="center"/>
    </xf>
    <xf numFmtId="0" fontId="0" fillId="0" borderId="0" xfId="0" applyBorder="1"/>
    <xf numFmtId="0" fontId="4" fillId="3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6" borderId="0" xfId="0" applyFill="1"/>
    <xf numFmtId="0" fontId="6" fillId="3" borderId="1" xfId="0" applyFont="1" applyFill="1" applyBorder="1"/>
    <xf numFmtId="0" fontId="7" fillId="3" borderId="1" xfId="0" applyFont="1" applyFill="1" applyBorder="1"/>
    <xf numFmtId="0" fontId="8" fillId="0" borderId="0" xfId="1" applyAlignment="1" applyProtection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9" fillId="6" borderId="13" xfId="1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/>
    <xf numFmtId="0" fontId="12" fillId="3" borderId="0" xfId="0" applyFont="1" applyFill="1" applyAlignment="1">
      <alignment horizontal="right" vertical="top"/>
    </xf>
    <xf numFmtId="49" fontId="0" fillId="9" borderId="0" xfId="0" applyNumberFormat="1" applyFill="1"/>
    <xf numFmtId="0" fontId="0" fillId="6" borderId="0" xfId="0" applyFill="1" applyAlignment="1">
      <alignment horizontal="left"/>
    </xf>
    <xf numFmtId="0" fontId="2" fillId="4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" xfId="0" applyFill="1" applyBorder="1"/>
    <xf numFmtId="0" fontId="0" fillId="3" borderId="0" xfId="0" applyFill="1"/>
    <xf numFmtId="0" fontId="2" fillId="4" borderId="14" xfId="0" applyFont="1" applyFill="1" applyBorder="1"/>
    <xf numFmtId="0" fontId="5" fillId="5" borderId="1" xfId="0" applyNumberFormat="1" applyFont="1" applyFill="1" applyBorder="1" applyAlignment="1">
      <alignment horizontal="left"/>
    </xf>
    <xf numFmtId="0" fontId="0" fillId="0" borderId="15" xfId="0" applyBorder="1"/>
    <xf numFmtId="0" fontId="0" fillId="0" borderId="10" xfId="0" applyBorder="1"/>
    <xf numFmtId="0" fontId="0" fillId="9" borderId="16" xfId="0" applyFill="1" applyBorder="1"/>
    <xf numFmtId="0" fontId="0" fillId="9" borderId="1" xfId="0" applyFill="1" applyBorder="1"/>
    <xf numFmtId="0" fontId="13" fillId="0" borderId="0" xfId="0" applyFont="1"/>
    <xf numFmtId="0" fontId="13" fillId="0" borderId="11" xfId="0" applyFont="1" applyBorder="1"/>
    <xf numFmtId="0" fontId="0" fillId="0" borderId="1" xfId="0" applyFill="1" applyBorder="1"/>
    <xf numFmtId="0" fontId="5" fillId="0" borderId="1" xfId="0" applyNumberFormat="1" applyFont="1" applyFill="1" applyBorder="1" applyAlignment="1">
      <alignment horizontal="left"/>
    </xf>
    <xf numFmtId="0" fontId="0" fillId="0" borderId="14" xfId="0" applyFill="1" applyBorder="1"/>
    <xf numFmtId="0" fontId="5" fillId="0" borderId="14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left"/>
    </xf>
    <xf numFmtId="0" fontId="2" fillId="3" borderId="1" xfId="0" applyFont="1" applyFill="1" applyBorder="1"/>
    <xf numFmtId="0" fontId="2" fillId="3" borderId="1" xfId="0" applyFont="1" applyFill="1" applyBorder="1" applyAlignment="1"/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4" fillId="3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left"/>
    </xf>
    <xf numFmtId="0" fontId="0" fillId="5" borderId="1" xfId="0" quotePrefix="1" applyFill="1" applyBorder="1"/>
    <xf numFmtId="0" fontId="0" fillId="0" borderId="4" xfId="0" applyFill="1" applyBorder="1"/>
    <xf numFmtId="0" fontId="0" fillId="5" borderId="1" xfId="0" applyFill="1" applyBorder="1" applyAlignment="1">
      <alignment horizontal="left" wrapText="1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5" fillId="3" borderId="10" xfId="0" applyFont="1" applyFill="1" applyBorder="1" applyAlignment="1"/>
    <xf numFmtId="0" fontId="5" fillId="3" borderId="4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16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7" fillId="10" borderId="0" xfId="2" applyFont="1" applyFill="1" applyBorder="1" applyAlignment="1" applyProtection="1">
      <alignment horizontal="center" vertical="center" wrapText="1"/>
      <protection locked="0"/>
    </xf>
    <xf numFmtId="0" fontId="17" fillId="9" borderId="0" xfId="2" applyFont="1" applyFill="1" applyBorder="1" applyAlignment="1" applyProtection="1">
      <alignment horizontal="center" vertical="center" wrapText="1"/>
      <protection locked="0"/>
    </xf>
    <xf numFmtId="0" fontId="17" fillId="5" borderId="0" xfId="2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/>
    <xf numFmtId="0" fontId="5" fillId="2" borderId="1" xfId="0" applyFont="1" applyFill="1" applyBorder="1"/>
    <xf numFmtId="0" fontId="5" fillId="5" borderId="1" xfId="0" applyFont="1" applyFill="1" applyBorder="1" applyAlignment="1">
      <alignment horizontal="left" wrapText="1"/>
    </xf>
    <xf numFmtId="0" fontId="20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4" borderId="0" xfId="2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Border="1" applyAlignment="1" applyProtection="1">
      <alignment horizontal="left" vertical="center" wrapText="1"/>
      <protection locked="0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2" fillId="4" borderId="1" xfId="0" applyFont="1" applyFill="1" applyBorder="1" applyAlignment="1"/>
    <xf numFmtId="0" fontId="2" fillId="4" borderId="4" xfId="0" applyFont="1" applyFill="1" applyBorder="1" applyAlignment="1"/>
    <xf numFmtId="0" fontId="2" fillId="4" borderId="10" xfId="0" applyFont="1" applyFill="1" applyBorder="1" applyAlignment="1"/>
    <xf numFmtId="0" fontId="2" fillId="4" borderId="2" xfId="0" applyFont="1" applyFill="1" applyBorder="1" applyAlignment="1"/>
    <xf numFmtId="0" fontId="5" fillId="3" borderId="4" xfId="0" applyFont="1" applyFill="1" applyBorder="1" applyAlignment="1">
      <alignment wrapText="1"/>
    </xf>
    <xf numFmtId="0" fontId="0" fillId="0" borderId="10" xfId="0" applyBorder="1" applyAlignment="1"/>
    <xf numFmtId="0" fontId="0" fillId="0" borderId="2" xfId="0" applyBorder="1" applyAlignment="1"/>
    <xf numFmtId="0" fontId="0" fillId="6" borderId="15" xfId="0" applyFill="1" applyBorder="1" applyAlignment="1"/>
    <xf numFmtId="0" fontId="0" fillId="0" borderId="15" xfId="0" applyBorder="1" applyAlignment="1"/>
    <xf numFmtId="0" fontId="0" fillId="3" borderId="1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2" fillId="3" borderId="14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3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2" fillId="3" borderId="14" xfId="0" applyFont="1" applyFill="1" applyBorder="1" applyAlignment="1"/>
    <xf numFmtId="0" fontId="2" fillId="0" borderId="12" xfId="0" applyFont="1" applyBorder="1" applyAlignment="1"/>
    <xf numFmtId="0" fontId="2" fillId="3" borderId="4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2" xfId="0" applyBorder="1" applyAlignment="1"/>
    <xf numFmtId="0" fontId="2" fillId="3" borderId="9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3" fillId="0" borderId="0" xfId="0" applyFont="1" applyAlignment="1">
      <alignment wrapText="1"/>
    </xf>
    <xf numFmtId="0" fontId="0" fillId="0" borderId="0" xfId="0" applyAlignment="1"/>
    <xf numFmtId="10" fontId="6" fillId="3" borderId="4" xfId="0" applyNumberFormat="1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超链接" xfId="1" builtinId="8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2522;&#30784;&#37197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3410;&#28857;&#20449;&#2468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6381;&#21153;&#36873;&#25321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2452;&#20214;&#37096;&#32626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&#29983;&#25104;&#37197;&#32622;&#25991;&#20214;!A1"/><Relationship Id="rId1" Type="http://schemas.openxmlformats.org/officeDocument/2006/relationships/hyperlink" Target="#&#30913;&#30424;&#37197;&#32622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29983;&#25104;&#37197;&#32622;&#25991;&#20214;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7</xdr:row>
      <xdr:rowOff>24093</xdr:rowOff>
    </xdr:from>
    <xdr:to>
      <xdr:col>4</xdr:col>
      <xdr:colOff>647700</xdr:colOff>
      <xdr:row>11</xdr:row>
      <xdr:rowOff>8404</xdr:rowOff>
    </xdr:to>
    <xdr:sp macro="" textlink="">
      <xdr:nvSpPr>
        <xdr:cNvPr id="4" name="矩形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1FE3A00-5536-4957-88C7-8B22A0E175E7}"/>
            </a:ext>
          </a:extLst>
        </xdr:cNvPr>
        <xdr:cNvSpPr/>
      </xdr:nvSpPr>
      <xdr:spPr>
        <a:xfrm>
          <a:off x="1666875" y="1462368"/>
          <a:ext cx="3914775" cy="670111"/>
        </a:xfrm>
        <a:prstGeom prst="rect">
          <a:avLst/>
        </a:prstGeom>
        <a:solidFill>
          <a:schemeClr val="bg1"/>
        </a:solidFill>
        <a:ln w="3175" cap="flat" cmpd="sng" algn="ctr">
          <a:solidFill>
            <a:sysClr val="window" lastClr="FFFFFF">
              <a:lumMod val="65000"/>
            </a:sysClr>
          </a:solidFill>
          <a:prstDash val="soli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400" b="0" i="0" u="none" strike="noStrike" kern="0" cap="none" spc="0" normalizeH="0" baseline="0" noProof="0">
              <a:ln>
                <a:noFill/>
              </a:ln>
              <a:solidFill>
                <a:srgbClr val="558ED5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</a:rPr>
            <a:t>开始使用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57150</xdr:rowOff>
        </xdr:from>
        <xdr:to>
          <xdr:col>11</xdr:col>
          <xdr:colOff>476250</xdr:colOff>
          <xdr:row>34</xdr:row>
          <xdr:rowOff>19050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380999</xdr:colOff>
      <xdr:row>4</xdr:row>
      <xdr:rowOff>409574</xdr:rowOff>
    </xdr:to>
    <xdr:grpSp>
      <xdr:nvGrpSpPr>
        <xdr:cNvPr id="13" name="组合 12" hidden="1"/>
        <xdr:cNvGrpSpPr/>
      </xdr:nvGrpSpPr>
      <xdr:grpSpPr>
        <a:xfrm>
          <a:off x="0" y="0"/>
          <a:ext cx="10315574" cy="1047749"/>
          <a:chOff x="9525" y="152400"/>
          <a:chExt cx="9086091" cy="1041025"/>
        </a:xfrm>
      </xdr:grpSpPr>
      <xdr:grpSp>
        <xdr:nvGrpSpPr>
          <xdr:cNvPr id="14" name="组合 13" hidden="1"/>
          <xdr:cNvGrpSpPr/>
        </xdr:nvGrpSpPr>
        <xdr:grpSpPr>
          <a:xfrm>
            <a:off x="16566" y="152400"/>
            <a:ext cx="9079050" cy="452645"/>
            <a:chOff x="0" y="152400"/>
            <a:chExt cx="8727039" cy="455130"/>
          </a:xfrm>
        </xdr:grpSpPr>
        <xdr:cxnSp macro="">
          <xdr:nvCxnSpPr>
            <xdr:cNvPr id="16" name="直接连接符 15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直接连接符 16" hidden="1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3" name="TextBox_DiskConfig" hidden="1"/>
            <xdr:cNvSpPr txBox="1"/>
          </xdr:nvSpPr>
          <xdr:spPr>
            <a:xfrm>
              <a:off x="7286625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 hidden="1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247650</xdr:colOff>
      <xdr:row>4</xdr:row>
      <xdr:rowOff>409575</xdr:rowOff>
    </xdr:to>
    <xdr:grpSp>
      <xdr:nvGrpSpPr>
        <xdr:cNvPr id="24" name="组合 23"/>
        <xdr:cNvGrpSpPr/>
      </xdr:nvGrpSpPr>
      <xdr:grpSpPr>
        <a:xfrm>
          <a:off x="0" y="0"/>
          <a:ext cx="8915400" cy="1047750"/>
          <a:chOff x="0" y="152401"/>
          <a:chExt cx="7629525" cy="1041024"/>
        </a:xfrm>
      </xdr:grpSpPr>
      <xdr:grpSp>
        <xdr:nvGrpSpPr>
          <xdr:cNvPr id="25" name="组合 24"/>
          <xdr:cNvGrpSpPr/>
        </xdr:nvGrpSpPr>
        <xdr:grpSpPr>
          <a:xfrm>
            <a:off x="0" y="152401"/>
            <a:ext cx="7629525" cy="452644"/>
            <a:chOff x="-15924" y="152400"/>
            <a:chExt cx="7333715" cy="455130"/>
          </a:xfrm>
        </xdr:grpSpPr>
        <xdr:cxnSp macro="">
          <xdr:nvCxnSpPr>
            <xdr:cNvPr id="27" name="直接连接符 26"/>
            <xdr:cNvCxnSpPr/>
          </xdr:nvCxnSpPr>
          <xdr:spPr>
            <a:xfrm>
              <a:off x="-15924" y="598008"/>
              <a:ext cx="7333715" cy="452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直接连接符 27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30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3" name="TextBox_DiskConfig"/>
            <xdr:cNvSpPr txBox="1"/>
          </xdr:nvSpPr>
          <xdr:spPr>
            <a:xfrm>
              <a:off x="5666066" y="161976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6" name="矩形 25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6</xdr:col>
      <xdr:colOff>1381126</xdr:colOff>
      <xdr:row>4</xdr:row>
      <xdr:rowOff>552450</xdr:rowOff>
    </xdr:to>
    <xdr:grpSp>
      <xdr:nvGrpSpPr>
        <xdr:cNvPr id="2" name="组合 1" hidden="1"/>
        <xdr:cNvGrpSpPr/>
      </xdr:nvGrpSpPr>
      <xdr:grpSpPr>
        <a:xfrm>
          <a:off x="0" y="0"/>
          <a:ext cx="2800351" cy="1181100"/>
          <a:chOff x="0" y="66675"/>
          <a:chExt cx="8688939" cy="1114425"/>
        </a:xfrm>
      </xdr:grpSpPr>
      <xdr:grpSp>
        <xdr:nvGrpSpPr>
          <xdr:cNvPr id="3" name="组合 2" hidden="1"/>
          <xdr:cNvGrpSpPr/>
        </xdr:nvGrpSpPr>
        <xdr:grpSpPr>
          <a:xfrm>
            <a:off x="0" y="66675"/>
            <a:ext cx="8688939" cy="511680"/>
            <a:chOff x="0" y="152400"/>
            <a:chExt cx="8688939" cy="445607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2722"/>
              <a:ext cx="2705100" cy="459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485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" y="638175"/>
            <a:ext cx="1466850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276224</xdr:colOff>
      <xdr:row>4</xdr:row>
      <xdr:rowOff>495300</xdr:rowOff>
    </xdr:to>
    <xdr:grpSp>
      <xdr:nvGrpSpPr>
        <xdr:cNvPr id="23" name="组合 22"/>
        <xdr:cNvGrpSpPr/>
      </xdr:nvGrpSpPr>
      <xdr:grpSpPr>
        <a:xfrm>
          <a:off x="0" y="0"/>
          <a:ext cx="8934449" cy="1123950"/>
          <a:chOff x="1390651" y="8086725"/>
          <a:chExt cx="8934449" cy="1123950"/>
        </a:xfrm>
      </xdr:grpSpPr>
      <xdr:grpSp>
        <xdr:nvGrpSpPr>
          <xdr:cNvPr id="24" name="组合 23"/>
          <xdr:cNvGrpSpPr/>
        </xdr:nvGrpSpPr>
        <xdr:grpSpPr>
          <a:xfrm>
            <a:off x="1390651" y="8086725"/>
            <a:ext cx="8934449" cy="520415"/>
            <a:chOff x="1390651" y="8086725"/>
            <a:chExt cx="8915399" cy="521205"/>
          </a:xfrm>
        </xdr:grpSpPr>
        <xdr:cxnSp macro="">
          <xdr:nvCxnSpPr>
            <xdr:cNvPr id="26" name="直接连接符 25"/>
            <xdr:cNvCxnSpPr/>
          </xdr:nvCxnSpPr>
          <xdr:spPr>
            <a:xfrm flipV="1">
              <a:off x="1409701" y="8572500"/>
              <a:ext cx="8915399" cy="685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直接连接符 26"/>
            <xdr:cNvCxnSpPr/>
          </xdr:nvCxnSpPr>
          <xdr:spPr>
            <a:xfrm flipV="1">
              <a:off x="1390651" y="8601861"/>
              <a:ext cx="3301139" cy="5279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" name="TextBox_BasicConfig"/>
            <xdr:cNvSpPr txBox="1"/>
          </xdr:nvSpPr>
          <xdr:spPr>
            <a:xfrm>
              <a:off x="1390651" y="8142853"/>
              <a:ext cx="1757288" cy="4213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29" name="TextBox_SelectService"/>
            <xdr:cNvSpPr txBox="1"/>
          </xdr:nvSpPr>
          <xdr:spPr>
            <a:xfrm>
              <a:off x="3169081" y="8096250"/>
              <a:ext cx="175375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0" name="TextBox_ClusterTopology"/>
            <xdr:cNvSpPr txBox="1"/>
          </xdr:nvSpPr>
          <xdr:spPr>
            <a:xfrm>
              <a:off x="4943974" y="8096250"/>
              <a:ext cx="175931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NodesInformation"/>
            <xdr:cNvSpPr txBox="1"/>
          </xdr:nvSpPr>
          <xdr:spPr>
            <a:xfrm>
              <a:off x="6724426" y="8096250"/>
              <a:ext cx="1758298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DiskConfig"/>
            <xdr:cNvSpPr txBox="1"/>
          </xdr:nvSpPr>
          <xdr:spPr>
            <a:xfrm>
              <a:off x="8388135" y="8086725"/>
              <a:ext cx="1757793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5" name="矩形 24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390652" y="8667750"/>
            <a:ext cx="1343023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276225</xdr:colOff>
      <xdr:row>4</xdr:row>
      <xdr:rowOff>372478</xdr:rowOff>
    </xdr:to>
    <xdr:grpSp>
      <xdr:nvGrpSpPr>
        <xdr:cNvPr id="2" name="组合 1" hidden="1"/>
        <xdr:cNvGrpSpPr/>
      </xdr:nvGrpSpPr>
      <xdr:grpSpPr>
        <a:xfrm>
          <a:off x="0" y="0"/>
          <a:ext cx="10267950" cy="1105903"/>
          <a:chOff x="0" y="170447"/>
          <a:chExt cx="8953585" cy="1105903"/>
        </a:xfrm>
      </xdr:grpSpPr>
      <xdr:grpSp>
        <xdr:nvGrpSpPr>
          <xdr:cNvPr id="3" name="组合 2" hidden="1"/>
          <xdr:cNvGrpSpPr/>
        </xdr:nvGrpSpPr>
        <xdr:grpSpPr>
          <a:xfrm>
            <a:off x="8660" y="170447"/>
            <a:ext cx="8944925" cy="526188"/>
            <a:chOff x="0" y="152400"/>
            <a:chExt cx="8649726" cy="449002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7904"/>
              <a:ext cx="8646135" cy="10103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0931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0" y="762000"/>
            <a:ext cx="1706818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361951</xdr:colOff>
      <xdr:row>4</xdr:row>
      <xdr:rowOff>372478</xdr:rowOff>
    </xdr:to>
    <xdr:grpSp>
      <xdr:nvGrpSpPr>
        <xdr:cNvPr id="13" name="组合 12"/>
        <xdr:cNvGrpSpPr/>
      </xdr:nvGrpSpPr>
      <xdr:grpSpPr>
        <a:xfrm>
          <a:off x="0" y="0"/>
          <a:ext cx="8905876" cy="1105903"/>
          <a:chOff x="1400176" y="9315450"/>
          <a:chExt cx="8905876" cy="1105903"/>
        </a:xfrm>
      </xdr:grpSpPr>
      <xdr:grpSp>
        <xdr:nvGrpSpPr>
          <xdr:cNvPr id="14" name="组合 13"/>
          <xdr:cNvGrpSpPr/>
        </xdr:nvGrpSpPr>
        <xdr:grpSpPr>
          <a:xfrm>
            <a:off x="1410374" y="9315450"/>
            <a:ext cx="8895678" cy="534403"/>
            <a:chOff x="0" y="152400"/>
            <a:chExt cx="7304888" cy="456012"/>
          </a:xfrm>
        </xdr:grpSpPr>
        <xdr:cxnSp macro="">
          <xdr:nvCxnSpPr>
            <xdr:cNvPr id="16" name="直接连接符 15"/>
            <xdr:cNvCxnSpPr/>
          </xdr:nvCxnSpPr>
          <xdr:spPr>
            <a:xfrm>
              <a:off x="0" y="598008"/>
              <a:ext cx="7304888" cy="1040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17" name="直接连接符 16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18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DiskConfig"/>
            <xdr:cNvSpPr txBox="1"/>
          </xdr:nvSpPr>
          <xdr:spPr>
            <a:xfrm>
              <a:off x="5726396" y="307683"/>
              <a:ext cx="1440414" cy="26034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400176" y="9907003"/>
            <a:ext cx="1352549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276226</xdr:colOff>
      <xdr:row>3</xdr:row>
      <xdr:rowOff>352426</xdr:rowOff>
    </xdr:to>
    <xdr:grpSp>
      <xdr:nvGrpSpPr>
        <xdr:cNvPr id="2" name="组合 1" hidden="1"/>
        <xdr:cNvGrpSpPr/>
      </xdr:nvGrpSpPr>
      <xdr:grpSpPr>
        <a:xfrm>
          <a:off x="0" y="0"/>
          <a:ext cx="10315576" cy="981076"/>
          <a:chOff x="19050" y="180975"/>
          <a:chExt cx="9840413" cy="981076"/>
        </a:xfrm>
      </xdr:grpSpPr>
      <xdr:sp macro="" textlink="">
        <xdr:nvSpPr>
          <xdr:cNvPr id="3" name="矩形 2" hidden="1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9050" y="609601"/>
            <a:ext cx="1773493" cy="5524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grpSp>
        <xdr:nvGrpSpPr>
          <xdr:cNvPr id="4" name="组合 3" hidden="1"/>
          <xdr:cNvGrpSpPr/>
        </xdr:nvGrpSpPr>
        <xdr:grpSpPr>
          <a:xfrm>
            <a:off x="19050" y="180975"/>
            <a:ext cx="9840413" cy="342361"/>
            <a:chOff x="0" y="152400"/>
            <a:chExt cx="8668861" cy="447174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7191" y="595997"/>
              <a:ext cx="5630011" cy="35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2148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722137</xdr:colOff>
      <xdr:row>3</xdr:row>
      <xdr:rowOff>438151</xdr:rowOff>
    </xdr:to>
    <xdr:grpSp>
      <xdr:nvGrpSpPr>
        <xdr:cNvPr id="21" name="组合 20"/>
        <xdr:cNvGrpSpPr/>
      </xdr:nvGrpSpPr>
      <xdr:grpSpPr>
        <a:xfrm>
          <a:off x="0" y="0"/>
          <a:ext cx="9370837" cy="1066801"/>
          <a:chOff x="1381125" y="10601324"/>
          <a:chExt cx="9370837" cy="1066801"/>
        </a:xfrm>
      </xdr:grpSpPr>
      <xdr:sp macro="" textlink="">
        <xdr:nvSpPr>
          <xdr:cNvPr id="22" name="矩形 21">
            <a:hlinkClick xmlns:r="http://schemas.openxmlformats.org/officeDocument/2006/relationships" r:id="rId2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381126" y="11096532"/>
            <a:ext cx="1457324" cy="571593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cxnSp macro="">
        <xdr:nvCxnSpPr>
          <xdr:cNvPr id="23" name="直接连接符 22"/>
          <xdr:cNvCxnSpPr/>
        </xdr:nvCxnSpPr>
        <xdr:spPr>
          <a:xfrm>
            <a:off x="1381125" y="10995482"/>
            <a:ext cx="9370837" cy="13012"/>
          </a:xfrm>
          <a:prstGeom prst="line">
            <a:avLst/>
          </a:prstGeom>
          <a:noFill/>
          <a:ln w="82550" cap="flat" cmpd="sng" algn="ctr">
            <a:solidFill>
              <a:sysClr val="window" lastClr="FFFFFF">
                <a:lumMod val="85000"/>
              </a:sysClr>
            </a:solidFill>
            <a:prstDash val="solid"/>
          </a:ln>
          <a:effectLst/>
        </xdr:spPr>
      </xdr:cxnSp>
      <xdr:cxnSp macro="">
        <xdr:nvCxnSpPr>
          <xdr:cNvPr id="24" name="直接连接符 23"/>
          <xdr:cNvCxnSpPr/>
        </xdr:nvCxnSpPr>
        <xdr:spPr>
          <a:xfrm flipV="1">
            <a:off x="1390551" y="10993703"/>
            <a:ext cx="7379625" cy="3164"/>
          </a:xfrm>
          <a:prstGeom prst="line">
            <a:avLst/>
          </a:prstGeom>
          <a:noFill/>
          <a:ln w="82550" cap="flat" cmpd="sng" algn="ctr">
            <a:solidFill>
              <a:srgbClr val="4BACC6">
                <a:lumMod val="60000"/>
                <a:lumOff val="40000"/>
              </a:srgbClr>
            </a:solidFill>
            <a:prstDash val="solid"/>
          </a:ln>
          <a:effectLst/>
        </xdr:spPr>
      </xdr:cxnSp>
      <xdr:sp macro="" textlink="">
        <xdr:nvSpPr>
          <xdr:cNvPr id="25" name="TextBox_SelectService"/>
          <xdr:cNvSpPr txBox="1"/>
        </xdr:nvSpPr>
        <xdr:spPr>
          <a:xfrm>
            <a:off x="3291337" y="10601324"/>
            <a:ext cx="1883703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2.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节点信息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6" name="TextBox_ClusterTopology"/>
          <xdr:cNvSpPr txBox="1"/>
        </xdr:nvSpPr>
        <xdr:spPr>
          <a:xfrm>
            <a:off x="5197748" y="10601324"/>
            <a:ext cx="1889675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3.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服务选择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7" name="TextBox_NodesInformation"/>
          <xdr:cNvSpPr txBox="1"/>
        </xdr:nvSpPr>
        <xdr:spPr>
          <a:xfrm>
            <a:off x="7110132" y="10601324"/>
            <a:ext cx="1888588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4.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组件部署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8" name="TextBox_DiskConfig"/>
          <xdr:cNvSpPr txBox="1"/>
        </xdr:nvSpPr>
        <xdr:spPr>
          <a:xfrm>
            <a:off x="9032021" y="10601324"/>
            <a:ext cx="1653949" cy="36045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5.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生成配置文件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104775</xdr:rowOff>
    </xdr:from>
    <xdr:to>
      <xdr:col>12</xdr:col>
      <xdr:colOff>32827</xdr:colOff>
      <xdr:row>2</xdr:row>
      <xdr:rowOff>276225</xdr:rowOff>
    </xdr:to>
    <xdr:grpSp>
      <xdr:nvGrpSpPr>
        <xdr:cNvPr id="11" name="组合 10"/>
        <xdr:cNvGrpSpPr/>
      </xdr:nvGrpSpPr>
      <xdr:grpSpPr>
        <a:xfrm>
          <a:off x="1" y="104775"/>
          <a:ext cx="12129576" cy="1085850"/>
          <a:chOff x="1" y="104775"/>
          <a:chExt cx="12129576" cy="1085850"/>
        </a:xfrm>
      </xdr:grpSpPr>
      <xdr:grpSp>
        <xdr:nvGrpSpPr>
          <xdr:cNvPr id="2" name="组合 1"/>
          <xdr:cNvGrpSpPr/>
        </xdr:nvGrpSpPr>
        <xdr:grpSpPr>
          <a:xfrm>
            <a:off x="28575" y="104775"/>
            <a:ext cx="12101002" cy="436010"/>
            <a:chOff x="0" y="152400"/>
            <a:chExt cx="8668861" cy="445607"/>
          </a:xfrm>
        </xdr:grpSpPr>
        <xdr:cxnSp macro="">
          <xdr:nvCxnSpPr>
            <xdr:cNvPr id="3" name="直接连接符 2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4" name="直接连接符 3"/>
            <xdr:cNvCxnSpPr/>
          </xdr:nvCxnSpPr>
          <xdr:spPr>
            <a:xfrm>
              <a:off x="0" y="594640"/>
              <a:ext cx="6895652" cy="335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5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6" name="TextBox_SelectService"/>
            <xdr:cNvSpPr txBox="1"/>
          </xdr:nvSpPr>
          <xdr:spPr>
            <a:xfrm>
              <a:off x="1438523" y="152400"/>
              <a:ext cx="1455905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7" name="TextBox_ClusterTopology"/>
            <xdr:cNvSpPr txBox="1"/>
          </xdr:nvSpPr>
          <xdr:spPr>
            <a:xfrm>
              <a:off x="2884759" y="152400"/>
              <a:ext cx="1468650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8" name="TextBox_NodesInformation"/>
            <xdr:cNvSpPr txBox="1"/>
          </xdr:nvSpPr>
          <xdr:spPr>
            <a:xfrm>
              <a:off x="4338708" y="152400"/>
              <a:ext cx="147285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FloatingIP"/>
            <xdr:cNvSpPr txBox="1"/>
          </xdr:nvSpPr>
          <xdr:spPr>
            <a:xfrm>
              <a:off x="5800369" y="152400"/>
              <a:ext cx="146893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DiskConfig"/>
            <xdr:cNvSpPr txBox="1"/>
          </xdr:nvSpPr>
          <xdr:spPr>
            <a:xfrm>
              <a:off x="72202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3" name="矩形 12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FE3A00-5536-4957-88C7-8B22A0E175E7}"/>
              </a:ext>
            </a:extLst>
          </xdr:cNvPr>
          <xdr:cNvSpPr/>
        </xdr:nvSpPr>
        <xdr:spPr>
          <a:xfrm>
            <a:off x="1" y="619125"/>
            <a:ext cx="1752600" cy="57150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161925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161925</xdr:rowOff>
        </xdr:from>
        <xdr:to>
          <xdr:col>2</xdr:col>
          <xdr:colOff>1047750</xdr:colOff>
          <xdr:row>3</xdr:row>
          <xdr:rowOff>371475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浏览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0"/>
  <sheetViews>
    <sheetView tabSelected="1" zoomScaleNormal="100" workbookViewId="0">
      <selection activeCell="C4" sqref="C4:E4"/>
    </sheetView>
  </sheetViews>
  <sheetFormatPr defaultRowHeight="13.5"/>
  <cols>
    <col min="3" max="3" width="24.125" customWidth="1"/>
    <col min="4" max="4" width="22.625" customWidth="1"/>
    <col min="5" max="5" width="16.375" customWidth="1"/>
  </cols>
  <sheetData>
    <row r="1" spans="1:18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 ht="32.25">
      <c r="A4" s="18"/>
      <c r="B4" s="18"/>
      <c r="C4" s="109"/>
      <c r="D4" s="110"/>
      <c r="E4" s="110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18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1:18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1:18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1:18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1:18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1:18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1:18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1:18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1:18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1:18" ht="44.25" customHeight="1">
      <c r="A15" s="18"/>
      <c r="B15" s="18"/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1:18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1:18" ht="18">
      <c r="A17" s="18"/>
      <c r="B17" s="18"/>
      <c r="C17" s="111" t="s">
        <v>283</v>
      </c>
      <c r="D17" s="111"/>
      <c r="E17" s="111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1:18" ht="18">
      <c r="A18" s="18"/>
      <c r="B18" s="18"/>
      <c r="C18" s="112" t="s">
        <v>284</v>
      </c>
      <c r="D18" s="112"/>
      <c r="E18" s="112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1:18" ht="18">
      <c r="A19" s="18"/>
      <c r="B19" s="18"/>
      <c r="C19" s="112"/>
      <c r="D19" s="112"/>
      <c r="E19" s="112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1:18" ht="18">
      <c r="A20" s="18"/>
      <c r="B20" s="18"/>
      <c r="C20" s="105" t="s">
        <v>285</v>
      </c>
      <c r="D20" s="104" t="s">
        <v>286</v>
      </c>
      <c r="E20" s="103" t="s">
        <v>287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1:18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1:18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1:18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1:18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1:18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1:18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1:18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1:18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1:18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ht="25.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18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1:18" ht="18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1:18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1:18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1:18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1:18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1:18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1:18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18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1:18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1:18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1:18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1:18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1:18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1:18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1:18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18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1:18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1:18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1:18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</row>
    <row r="51" spans="1:18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</row>
    <row r="52" spans="1:18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</row>
    <row r="53" spans="1:18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</row>
    <row r="54" spans="1:18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18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</row>
    <row r="56" spans="1:18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</row>
    <row r="57" spans="1:18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</row>
    <row r="58" spans="1:18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</row>
    <row r="59" spans="1:18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</row>
    <row r="60" spans="1:18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</row>
    <row r="61" spans="1:18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</row>
    <row r="62" spans="1:18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18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1:18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1:18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1:18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1:18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1:18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  <row r="69" spans="1:18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</row>
    <row r="70" spans="1:18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</row>
  </sheetData>
  <mergeCells count="4">
    <mergeCell ref="C4:E4"/>
    <mergeCell ref="C17:E17"/>
    <mergeCell ref="C18:E18"/>
    <mergeCell ref="C19:E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6" r:id="rId4">
          <objectPr defaultSize="0" autoPict="0" r:id="rId5">
            <anchor moveWithCells="1" sizeWithCells="1">
              <from>
                <xdr:col>5</xdr:col>
                <xdr:colOff>390525</xdr:colOff>
                <xdr:row>0</xdr:row>
                <xdr:rowOff>57150</xdr:rowOff>
              </from>
              <to>
                <xdr:col>11</xdr:col>
                <xdr:colOff>476250</xdr:colOff>
                <xdr:row>34</xdr:row>
                <xdr:rowOff>19050</xdr:rowOff>
              </to>
            </anchor>
          </objectPr>
        </oleObject>
      </mc:Choice>
      <mc:Fallback>
        <oleObject progId="Visio.Drawing.11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Normal="100" workbookViewId="0">
      <pane ySplit="6" topLeftCell="A13" activePane="bottomLeft" state="frozenSplit"/>
      <selection pane="bottomLeft" activeCell="C9" sqref="C9"/>
    </sheetView>
  </sheetViews>
  <sheetFormatPr defaultRowHeight="13.5"/>
  <cols>
    <col min="1" max="1" width="26.375" customWidth="1"/>
    <col min="2" max="2" width="1.875" customWidth="1"/>
    <col min="3" max="3" width="19" style="47" customWidth="1"/>
    <col min="4" max="9" width="16.625" customWidth="1"/>
  </cols>
  <sheetData>
    <row r="1" spans="1:10">
      <c r="B1" s="18"/>
      <c r="C1" s="42"/>
      <c r="D1" s="18"/>
      <c r="E1" s="18"/>
      <c r="F1" s="18"/>
      <c r="G1" s="18"/>
      <c r="H1" s="18"/>
      <c r="I1" s="18"/>
      <c r="J1" s="18"/>
    </row>
    <row r="2" spans="1:10" ht="18" customHeight="1">
      <c r="A2" s="18"/>
      <c r="B2" s="18"/>
      <c r="C2" s="42"/>
      <c r="D2" s="18"/>
      <c r="E2" s="18"/>
      <c r="F2" s="18"/>
      <c r="G2" s="18"/>
      <c r="H2" s="18"/>
      <c r="I2" s="18"/>
      <c r="J2" s="18"/>
    </row>
    <row r="3" spans="1:10" ht="12" customHeight="1">
      <c r="A3" s="18"/>
      <c r="B3" s="18"/>
      <c r="C3" s="42"/>
      <c r="D3" s="18"/>
      <c r="E3" s="18"/>
      <c r="F3" s="18"/>
      <c r="G3" s="18"/>
      <c r="H3" s="18"/>
      <c r="I3" s="18"/>
      <c r="J3" s="18"/>
    </row>
    <row r="4" spans="1:10" ht="6.75" customHeight="1">
      <c r="A4" s="18"/>
      <c r="B4" s="18"/>
      <c r="C4" s="42"/>
      <c r="D4" s="18"/>
      <c r="E4" s="18"/>
      <c r="F4" s="18"/>
      <c r="G4" s="18"/>
      <c r="H4" s="18"/>
      <c r="I4" s="18"/>
      <c r="J4" s="18"/>
    </row>
    <row r="5" spans="1:10" ht="45" customHeight="1">
      <c r="A5" s="21"/>
      <c r="B5" s="18"/>
      <c r="C5" s="42"/>
      <c r="D5" s="18"/>
      <c r="E5" s="18"/>
      <c r="F5" s="18"/>
      <c r="G5" s="18"/>
      <c r="H5" s="18"/>
      <c r="I5" s="18"/>
      <c r="J5" s="18"/>
    </row>
    <row r="6" spans="1:10" ht="18" customHeight="1">
      <c r="A6" s="119" t="s">
        <v>10</v>
      </c>
      <c r="B6" s="119"/>
      <c r="C6" s="43" t="s">
        <v>1</v>
      </c>
      <c r="D6" s="120" t="s">
        <v>0</v>
      </c>
      <c r="E6" s="121"/>
      <c r="F6" s="121"/>
      <c r="G6" s="121"/>
      <c r="H6" s="121"/>
      <c r="I6" s="122"/>
      <c r="J6" s="18"/>
    </row>
    <row r="7" spans="1:10" ht="36.75" customHeight="1">
      <c r="A7" s="13" t="s">
        <v>279</v>
      </c>
      <c r="B7" s="81" t="s">
        <v>281</v>
      </c>
      <c r="C7" s="44" t="s">
        <v>295</v>
      </c>
      <c r="D7" s="94" t="s">
        <v>282</v>
      </c>
      <c r="E7" s="93"/>
      <c r="F7" s="93"/>
      <c r="G7" s="93"/>
      <c r="H7" s="93"/>
      <c r="I7" s="93"/>
      <c r="J7" s="39"/>
    </row>
    <row r="8" spans="1:10" ht="18" customHeight="1">
      <c r="A8" s="2" t="s">
        <v>2</v>
      </c>
      <c r="B8" s="3" t="s">
        <v>11</v>
      </c>
      <c r="C8" s="44" t="s">
        <v>298</v>
      </c>
      <c r="D8" s="116"/>
      <c r="E8" s="117"/>
      <c r="F8" s="117"/>
      <c r="G8" s="117"/>
      <c r="H8" s="117"/>
      <c r="I8" s="118"/>
      <c r="J8" s="18"/>
    </row>
    <row r="9" spans="1:10" ht="50.1" customHeight="1">
      <c r="A9" s="13" t="s">
        <v>13</v>
      </c>
      <c r="B9" s="5" t="s">
        <v>280</v>
      </c>
      <c r="C9" s="44" t="s">
        <v>278</v>
      </c>
      <c r="D9" s="123" t="s">
        <v>294</v>
      </c>
      <c r="E9" s="114"/>
      <c r="F9" s="114"/>
      <c r="G9" s="114"/>
      <c r="H9" s="114"/>
      <c r="I9" s="114"/>
      <c r="J9" s="39"/>
    </row>
    <row r="10" spans="1:10" ht="18" customHeight="1">
      <c r="A10" s="9" t="s">
        <v>3</v>
      </c>
      <c r="B10" s="10" t="s">
        <v>11</v>
      </c>
      <c r="C10" s="51">
        <v>3</v>
      </c>
      <c r="D10" s="116"/>
      <c r="E10" s="117"/>
      <c r="F10" s="117"/>
      <c r="G10" s="117"/>
      <c r="H10" s="117"/>
      <c r="I10" s="118"/>
      <c r="J10" s="18"/>
    </row>
    <row r="11" spans="1:10" ht="18" customHeight="1">
      <c r="A11" s="12" t="s">
        <v>4</v>
      </c>
      <c r="B11" s="15" t="s">
        <v>12</v>
      </c>
      <c r="C11" s="45" t="s">
        <v>299</v>
      </c>
      <c r="D11" s="113"/>
      <c r="E11" s="114"/>
      <c r="F11" s="114"/>
      <c r="G11" s="114"/>
      <c r="H11" s="114"/>
      <c r="I11" s="115"/>
      <c r="J11" s="18"/>
    </row>
    <row r="12" spans="1:10" ht="18" customHeight="1">
      <c r="A12" s="11" t="s">
        <v>7</v>
      </c>
      <c r="B12" s="66" t="s">
        <v>231</v>
      </c>
      <c r="C12" s="45" t="s">
        <v>14</v>
      </c>
      <c r="D12" s="116" t="s">
        <v>160</v>
      </c>
      <c r="E12" s="117"/>
      <c r="F12" s="117"/>
      <c r="G12" s="117"/>
      <c r="H12" s="117"/>
      <c r="I12" s="118"/>
      <c r="J12" s="18"/>
    </row>
    <row r="13" spans="1:10" ht="18" customHeight="1">
      <c r="A13" s="4" t="s">
        <v>5</v>
      </c>
      <c r="B13" s="65" t="s">
        <v>232</v>
      </c>
      <c r="C13" s="44" t="s">
        <v>300</v>
      </c>
      <c r="D13" s="113" t="s">
        <v>161</v>
      </c>
      <c r="E13" s="114"/>
      <c r="F13" s="114"/>
      <c r="G13" s="114"/>
      <c r="H13" s="114"/>
      <c r="I13" s="115"/>
      <c r="J13" s="18"/>
    </row>
    <row r="14" spans="1:10" ht="18" customHeight="1">
      <c r="A14" s="6" t="s">
        <v>228</v>
      </c>
      <c r="B14" s="101" t="s">
        <v>194</v>
      </c>
      <c r="C14" s="45" t="s">
        <v>296</v>
      </c>
      <c r="D14" s="98"/>
      <c r="E14" s="99"/>
      <c r="F14" s="99"/>
      <c r="G14" s="99"/>
      <c r="H14" s="99"/>
      <c r="I14" s="100"/>
      <c r="J14" s="18"/>
    </row>
    <row r="15" spans="1:10" ht="18" customHeight="1">
      <c r="A15" s="4" t="s">
        <v>239</v>
      </c>
      <c r="B15" s="102" t="s">
        <v>11</v>
      </c>
      <c r="C15" s="44" t="s">
        <v>242</v>
      </c>
      <c r="D15" s="95"/>
      <c r="E15" s="96"/>
      <c r="F15" s="96"/>
      <c r="G15" s="96"/>
      <c r="H15" s="96"/>
      <c r="I15" s="97"/>
      <c r="J15" s="18"/>
    </row>
    <row r="16" spans="1:10" ht="18" customHeight="1">
      <c r="A16" s="6" t="s">
        <v>240</v>
      </c>
      <c r="B16" s="77" t="s">
        <v>241</v>
      </c>
      <c r="C16" s="44" t="s">
        <v>243</v>
      </c>
      <c r="D16" s="86"/>
      <c r="E16" s="87"/>
      <c r="F16" s="87"/>
      <c r="G16" s="87"/>
      <c r="H16" s="87"/>
      <c r="I16" s="88"/>
      <c r="J16" s="18"/>
    </row>
    <row r="17" spans="1:10" ht="18" customHeight="1">
      <c r="A17" s="4" t="s">
        <v>137</v>
      </c>
      <c r="B17" s="5" t="s">
        <v>11</v>
      </c>
      <c r="C17" s="44" t="s">
        <v>277</v>
      </c>
      <c r="D17" s="27"/>
      <c r="E17" s="28"/>
      <c r="F17" s="28"/>
      <c r="G17" s="28"/>
      <c r="H17" s="28"/>
      <c r="I17" s="29"/>
      <c r="J17" s="18"/>
    </row>
    <row r="18" spans="1:10" ht="18" customHeight="1">
      <c r="A18" s="6" t="s">
        <v>303</v>
      </c>
      <c r="B18" s="3" t="s">
        <v>11</v>
      </c>
      <c r="C18" s="44" t="s">
        <v>225</v>
      </c>
      <c r="D18" s="30" t="s">
        <v>224</v>
      </c>
      <c r="E18" s="31"/>
      <c r="F18" s="31"/>
      <c r="G18" s="31"/>
      <c r="H18" s="31"/>
      <c r="I18" s="32"/>
      <c r="J18" s="18"/>
    </row>
    <row r="19" spans="1:10" ht="18" customHeight="1">
      <c r="A19" s="4" t="s">
        <v>138</v>
      </c>
      <c r="B19" s="5" t="s">
        <v>11</v>
      </c>
      <c r="C19" s="44" t="s">
        <v>226</v>
      </c>
      <c r="D19" s="27"/>
      <c r="E19" s="28"/>
      <c r="F19" s="28"/>
      <c r="G19" s="28"/>
      <c r="H19" s="28"/>
      <c r="I19" s="29"/>
      <c r="J19" s="18"/>
    </row>
    <row r="20" spans="1:10" ht="18" customHeight="1">
      <c r="A20" s="6" t="s">
        <v>139</v>
      </c>
      <c r="B20" s="3" t="s">
        <v>197</v>
      </c>
      <c r="C20" s="44" t="s">
        <v>223</v>
      </c>
      <c r="D20" s="30" t="s">
        <v>140</v>
      </c>
      <c r="E20" s="31"/>
      <c r="F20" s="31"/>
      <c r="G20" s="31"/>
      <c r="H20" s="31"/>
      <c r="I20" s="32"/>
      <c r="J20" s="18"/>
    </row>
    <row r="21" spans="1:10" ht="18" customHeight="1">
      <c r="A21" s="4" t="s">
        <v>199</v>
      </c>
      <c r="B21" s="5" t="s">
        <v>198</v>
      </c>
      <c r="C21" s="44" t="s">
        <v>275</v>
      </c>
      <c r="D21" s="71"/>
      <c r="E21" s="72"/>
      <c r="F21" s="72"/>
      <c r="G21" s="72"/>
      <c r="H21" s="72"/>
      <c r="I21" s="73"/>
      <c r="J21" s="18"/>
    </row>
    <row r="22" spans="1:10" ht="18" customHeight="1">
      <c r="A22" s="6" t="s">
        <v>200</v>
      </c>
      <c r="B22" s="77" t="s">
        <v>11</v>
      </c>
      <c r="C22" s="44" t="s">
        <v>203</v>
      </c>
      <c r="D22" s="74"/>
      <c r="E22" s="75"/>
      <c r="F22" s="75"/>
      <c r="G22" s="75"/>
      <c r="H22" s="75"/>
      <c r="I22" s="76"/>
      <c r="J22" s="18"/>
    </row>
    <row r="23" spans="1:10" ht="18" customHeight="1">
      <c r="A23" s="4" t="s">
        <v>201</v>
      </c>
      <c r="B23" s="5" t="s">
        <v>272</v>
      </c>
      <c r="C23" s="44" t="s">
        <v>202</v>
      </c>
      <c r="D23" s="27"/>
      <c r="E23" s="28"/>
      <c r="F23" s="28"/>
      <c r="G23" s="28"/>
      <c r="H23" s="28"/>
      <c r="I23" s="29"/>
      <c r="J23" s="18"/>
    </row>
    <row r="24" spans="1:10" ht="18" customHeight="1">
      <c r="A24" s="6" t="s">
        <v>273</v>
      </c>
      <c r="B24" s="77" t="s">
        <v>272</v>
      </c>
      <c r="C24" s="44" t="s">
        <v>274</v>
      </c>
      <c r="D24" s="90"/>
      <c r="E24" s="91"/>
      <c r="F24" s="91"/>
      <c r="G24" s="91"/>
      <c r="H24" s="91"/>
      <c r="I24" s="92"/>
      <c r="J24" s="18"/>
    </row>
    <row r="25" spans="1:10" ht="18" customHeight="1">
      <c r="A25" s="4" t="s">
        <v>205</v>
      </c>
      <c r="B25" s="81" t="s">
        <v>12</v>
      </c>
      <c r="C25" s="44" t="s">
        <v>301</v>
      </c>
      <c r="D25" s="78"/>
      <c r="E25" s="79"/>
      <c r="F25" s="79"/>
      <c r="G25" s="79"/>
      <c r="H25" s="79"/>
      <c r="I25" s="80"/>
      <c r="J25" s="18"/>
    </row>
    <row r="26" spans="1:10" ht="18" customHeight="1">
      <c r="A26" s="6" t="s">
        <v>204</v>
      </c>
      <c r="B26" s="3" t="s">
        <v>11</v>
      </c>
      <c r="C26" s="44" t="s">
        <v>302</v>
      </c>
      <c r="D26" s="30" t="s">
        <v>276</v>
      </c>
      <c r="E26" s="31"/>
      <c r="F26" s="31"/>
      <c r="G26" s="31"/>
      <c r="H26" s="31"/>
      <c r="I26" s="32"/>
      <c r="J26" s="18"/>
    </row>
    <row r="27" spans="1:10" ht="18" customHeight="1">
      <c r="A27" s="4" t="s">
        <v>136</v>
      </c>
      <c r="B27" s="5" t="s">
        <v>11</v>
      </c>
      <c r="C27" s="108" t="s">
        <v>297</v>
      </c>
      <c r="D27" s="113"/>
      <c r="E27" s="124"/>
      <c r="F27" s="124"/>
      <c r="G27" s="124"/>
      <c r="H27" s="124"/>
      <c r="I27" s="125"/>
      <c r="J27" s="18"/>
    </row>
    <row r="28" spans="1:10" ht="18" customHeight="1">
      <c r="A28" s="6" t="s">
        <v>135</v>
      </c>
      <c r="B28" s="3" t="s">
        <v>12</v>
      </c>
      <c r="C28" s="44" t="s">
        <v>305</v>
      </c>
      <c r="D28" s="116"/>
      <c r="E28" s="117"/>
      <c r="F28" s="117"/>
      <c r="G28" s="117"/>
      <c r="H28" s="117"/>
      <c r="I28" s="118"/>
      <c r="J28" s="18"/>
    </row>
    <row r="29" spans="1:10" ht="18" hidden="1" customHeight="1">
      <c r="A29" s="4" t="s">
        <v>6</v>
      </c>
      <c r="B29" s="7"/>
      <c r="C29" s="44" t="s">
        <v>15</v>
      </c>
      <c r="D29" s="113"/>
      <c r="E29" s="114"/>
      <c r="F29" s="114"/>
      <c r="G29" s="114"/>
      <c r="H29" s="114"/>
      <c r="I29" s="115"/>
      <c r="J29" s="18"/>
    </row>
    <row r="30" spans="1:10" ht="18" hidden="1" customHeight="1">
      <c r="A30" s="6" t="s">
        <v>8</v>
      </c>
      <c r="B30" s="8"/>
      <c r="C30" s="44" t="s">
        <v>15</v>
      </c>
      <c r="D30" s="116"/>
      <c r="E30" s="117"/>
      <c r="F30" s="117"/>
      <c r="G30" s="117"/>
      <c r="H30" s="117"/>
      <c r="I30" s="118"/>
      <c r="J30" s="18"/>
    </row>
    <row r="31" spans="1:10" ht="18" hidden="1" customHeight="1">
      <c r="A31" s="4" t="s">
        <v>9</v>
      </c>
      <c r="B31" s="7"/>
      <c r="C31" s="44" t="s">
        <v>159</v>
      </c>
      <c r="D31" s="113"/>
      <c r="E31" s="114"/>
      <c r="F31" s="114"/>
      <c r="G31" s="114"/>
      <c r="H31" s="114"/>
      <c r="I31" s="115"/>
      <c r="J31" s="18"/>
    </row>
    <row r="32" spans="1:10">
      <c r="A32" s="18"/>
      <c r="B32" s="18"/>
      <c r="C32" s="42"/>
      <c r="D32" s="18"/>
      <c r="E32" s="18"/>
      <c r="F32" s="18"/>
      <c r="G32" s="18"/>
      <c r="H32" s="18"/>
      <c r="I32" s="18"/>
      <c r="J32" s="18"/>
    </row>
    <row r="33" spans="1:10">
      <c r="A33" s="18"/>
      <c r="B33" s="18"/>
      <c r="C33" s="46"/>
      <c r="D33" s="18"/>
      <c r="E33" s="18"/>
      <c r="F33" s="18"/>
      <c r="G33" s="18"/>
      <c r="H33" s="18"/>
      <c r="I33" s="18"/>
      <c r="J33" s="18"/>
    </row>
    <row r="34" spans="1:10">
      <c r="A34" s="18"/>
      <c r="B34" s="18"/>
      <c r="C34" s="42"/>
      <c r="D34" s="18"/>
      <c r="E34" s="18"/>
      <c r="F34" s="18"/>
      <c r="G34" s="18"/>
      <c r="H34" s="18"/>
      <c r="I34" s="18"/>
      <c r="J34" s="18"/>
    </row>
    <row r="39" spans="1:10" ht="30">
      <c r="D39" s="38"/>
    </row>
  </sheetData>
  <dataConsolidate/>
  <mergeCells count="13">
    <mergeCell ref="D13:I13"/>
    <mergeCell ref="D28:I28"/>
    <mergeCell ref="D29:I29"/>
    <mergeCell ref="D30:I30"/>
    <mergeCell ref="D31:I31"/>
    <mergeCell ref="D27:I27"/>
    <mergeCell ref="D11:I11"/>
    <mergeCell ref="D12:I12"/>
    <mergeCell ref="A6:B6"/>
    <mergeCell ref="D6:I6"/>
    <mergeCell ref="D8:I8"/>
    <mergeCell ref="D9:I9"/>
    <mergeCell ref="D10:I10"/>
  </mergeCells>
  <phoneticPr fontId="1" type="noConversion"/>
  <dataValidations count="3">
    <dataValidation type="list" allowBlank="1" showInputMessage="1" showErrorMessage="1" sqref="C12 C29:C31 C14">
      <formula1>"Y,N"</formula1>
    </dataValidation>
    <dataValidation type="list" allowBlank="1" showInputMessage="1" showErrorMessage="1" sqref="C9">
      <formula1>"方案1：MN&amp;CN、DN,方案2：MN、CN、DN,方案3：MN&amp;CN&amp;DN"</formula1>
    </dataValidation>
    <dataValidation type="list" allowBlank="1" showInputMessage="1" showErrorMessage="1" sqref="C7">
      <formula1>"已有节点,物理裸机"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"/>
  <sheetViews>
    <sheetView zoomScaleNormal="100" workbookViewId="0">
      <pane ySplit="6" topLeftCell="A7" activePane="bottomLeft" state="frozenSplit"/>
      <selection pane="bottomLeft" activeCell="C10" sqref="C10"/>
    </sheetView>
  </sheetViews>
  <sheetFormatPr defaultRowHeight="13.5"/>
  <cols>
    <col min="1" max="1" width="19" hidden="1" customWidth="1"/>
    <col min="2" max="2" width="18.625" hidden="1" customWidth="1"/>
    <col min="3" max="3" width="18.625" customWidth="1"/>
    <col min="4" max="6" width="18.625" hidden="1" customWidth="1"/>
    <col min="7" max="7" width="18.625" customWidth="1"/>
    <col min="8" max="9" width="18.625" hidden="1" customWidth="1"/>
    <col min="10" max="10" width="18.5" hidden="1" customWidth="1"/>
    <col min="11" max="11" width="13.375" customWidth="1"/>
  </cols>
  <sheetData>
    <row r="1" spans="1:11">
      <c r="B1" s="18"/>
      <c r="C1" s="18"/>
      <c r="D1" s="18"/>
      <c r="E1" s="18"/>
      <c r="F1" s="18"/>
      <c r="G1" s="18"/>
      <c r="H1" s="18"/>
      <c r="I1" s="18"/>
      <c r="J1" s="18"/>
    </row>
    <row r="2" spans="1:11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</row>
    <row r="3" spans="1:11" ht="14.25" customHeight="1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1" ht="3.75" customHeight="1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1" ht="45" customHeight="1">
      <c r="A5" s="18"/>
      <c r="B5" s="18"/>
      <c r="C5" s="18"/>
      <c r="D5" s="18"/>
      <c r="E5" s="18"/>
      <c r="F5" s="18"/>
      <c r="G5" s="18"/>
      <c r="H5" s="126"/>
      <c r="I5" s="127"/>
      <c r="J5" s="127"/>
      <c r="K5" s="40" t="s">
        <v>162</v>
      </c>
    </row>
    <row r="6" spans="1:11" ht="17.25">
      <c r="A6" s="50" t="s">
        <v>16</v>
      </c>
      <c r="B6" s="50" t="s">
        <v>17</v>
      </c>
      <c r="C6" s="50" t="s">
        <v>18</v>
      </c>
      <c r="D6" s="50" t="s">
        <v>19</v>
      </c>
      <c r="E6" s="50" t="s">
        <v>20</v>
      </c>
      <c r="F6" s="50" t="s">
        <v>21</v>
      </c>
      <c r="G6" s="50" t="s">
        <v>164</v>
      </c>
      <c r="H6" s="50" t="s">
        <v>233</v>
      </c>
      <c r="I6" s="50" t="s">
        <v>234</v>
      </c>
      <c r="J6" s="50" t="s">
        <v>235</v>
      </c>
      <c r="K6" s="49"/>
    </row>
    <row r="7" spans="1:11" ht="18" customHeight="1">
      <c r="A7" s="83" t="s">
        <v>206</v>
      </c>
      <c r="B7" s="83" t="s">
        <v>209</v>
      </c>
      <c r="C7" s="48" t="s">
        <v>309</v>
      </c>
      <c r="D7" s="48" t="s">
        <v>213</v>
      </c>
      <c r="E7" s="48" t="s">
        <v>229</v>
      </c>
      <c r="F7" s="48" t="s">
        <v>236</v>
      </c>
      <c r="G7" s="48" t="str">
        <f t="shared" ref="G7:G9" ca="1" si="0">IF(INDIRECT("基础配置" &amp; "!$C12")="Y",INDIRECT("基础配置" &amp; "!$C13"),"")</f>
        <v>123456a?</v>
      </c>
      <c r="H7" s="48"/>
      <c r="I7" s="48"/>
      <c r="J7" s="48"/>
    </row>
    <row r="8" spans="1:11" ht="18" customHeight="1">
      <c r="A8" s="83" t="s">
        <v>207</v>
      </c>
      <c r="B8" s="83" t="s">
        <v>210</v>
      </c>
      <c r="C8" s="48" t="s">
        <v>310</v>
      </c>
      <c r="D8" s="48" t="s">
        <v>214</v>
      </c>
      <c r="E8" s="48" t="s">
        <v>216</v>
      </c>
      <c r="F8" s="48" t="s">
        <v>218</v>
      </c>
      <c r="G8" s="48" t="str">
        <f t="shared" ca="1" si="0"/>
        <v>123456a?</v>
      </c>
      <c r="H8" s="48"/>
      <c r="I8" s="48"/>
      <c r="J8" s="48"/>
    </row>
    <row r="9" spans="1:11" ht="18" customHeight="1">
      <c r="A9" s="83" t="s">
        <v>208</v>
      </c>
      <c r="B9" s="83" t="s">
        <v>211</v>
      </c>
      <c r="C9" s="48" t="s">
        <v>306</v>
      </c>
      <c r="D9" s="48" t="s">
        <v>212</v>
      </c>
      <c r="E9" s="48" t="s">
        <v>215</v>
      </c>
      <c r="F9" s="48" t="s">
        <v>217</v>
      </c>
      <c r="G9" s="48" t="str">
        <f t="shared" ca="1" si="0"/>
        <v>123456a?</v>
      </c>
      <c r="H9" s="48"/>
      <c r="I9" s="48"/>
      <c r="J9" s="48"/>
    </row>
    <row r="10" spans="1:11" ht="18" customHeight="1"/>
    <row r="11" spans="1:11" ht="18" customHeight="1"/>
    <row r="12" spans="1:11" ht="18" customHeight="1"/>
  </sheetData>
  <mergeCells count="1">
    <mergeCell ref="H5:J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2.5" customWidth="1"/>
    <col min="2" max="2" width="16.5" customWidth="1"/>
    <col min="3" max="7" width="16.625" customWidth="1"/>
    <col min="8" max="8" width="19" customWidth="1"/>
  </cols>
  <sheetData>
    <row r="1" spans="1:8">
      <c r="B1" s="18"/>
      <c r="C1" s="18"/>
      <c r="D1" s="18"/>
      <c r="E1" s="18"/>
      <c r="F1" s="18"/>
      <c r="G1" s="18"/>
      <c r="H1" s="18"/>
    </row>
    <row r="2" spans="1:8" ht="18" customHeight="1">
      <c r="A2" s="18"/>
      <c r="B2" s="18"/>
      <c r="C2" s="18"/>
      <c r="D2" s="18"/>
      <c r="E2" s="18"/>
      <c r="F2" s="18"/>
      <c r="G2" s="18"/>
      <c r="H2" s="18"/>
    </row>
    <row r="3" spans="1:8" ht="15" customHeight="1">
      <c r="A3" s="18"/>
      <c r="B3" s="18"/>
      <c r="C3" s="18"/>
      <c r="D3" s="18"/>
      <c r="E3" s="18"/>
      <c r="F3" s="18"/>
      <c r="G3" s="18"/>
      <c r="H3" s="18"/>
    </row>
    <row r="4" spans="1:8" ht="11.25" customHeight="1">
      <c r="A4" s="18"/>
      <c r="B4" s="18"/>
      <c r="C4" s="18"/>
      <c r="D4" s="18"/>
      <c r="E4" s="18"/>
      <c r="F4" s="18"/>
      <c r="G4" s="18"/>
      <c r="H4" s="18"/>
    </row>
    <row r="5" spans="1:8" ht="45" customHeight="1">
      <c r="A5" s="18"/>
      <c r="B5" s="18"/>
      <c r="C5" s="18"/>
      <c r="D5" s="18"/>
      <c r="E5" s="18"/>
      <c r="F5" s="18"/>
      <c r="G5" s="18"/>
      <c r="H5" s="18"/>
    </row>
    <row r="6" spans="1:8" ht="18" customHeight="1">
      <c r="A6" s="1" t="s">
        <v>22</v>
      </c>
      <c r="B6" s="1" t="s">
        <v>23</v>
      </c>
      <c r="C6" s="119" t="s">
        <v>24</v>
      </c>
      <c r="D6" s="119"/>
      <c r="E6" s="119"/>
      <c r="F6" s="119"/>
      <c r="G6" s="119"/>
      <c r="H6" s="119"/>
    </row>
    <row r="7" spans="1:8" ht="32.1" customHeight="1">
      <c r="A7" s="106" t="s">
        <v>14</v>
      </c>
      <c r="B7" s="16" t="s">
        <v>25</v>
      </c>
      <c r="C7" s="129" t="s">
        <v>59</v>
      </c>
      <c r="D7" s="129"/>
      <c r="E7" s="129"/>
      <c r="F7" s="129"/>
      <c r="G7" s="129"/>
      <c r="H7" s="129"/>
    </row>
    <row r="8" spans="1:8" ht="18" customHeight="1">
      <c r="A8" s="107"/>
      <c r="B8" s="17" t="s">
        <v>26</v>
      </c>
      <c r="C8" s="128" t="s">
        <v>57</v>
      </c>
      <c r="D8" s="128"/>
      <c r="E8" s="128"/>
      <c r="F8" s="128"/>
      <c r="G8" s="128"/>
      <c r="H8" s="128"/>
    </row>
    <row r="9" spans="1:8" ht="18" customHeight="1">
      <c r="A9" s="107" t="s">
        <v>14</v>
      </c>
      <c r="B9" s="16" t="s">
        <v>27</v>
      </c>
      <c r="C9" s="129" t="s">
        <v>60</v>
      </c>
      <c r="D9" s="129"/>
      <c r="E9" s="129"/>
      <c r="F9" s="129"/>
      <c r="G9" s="129"/>
      <c r="H9" s="129"/>
    </row>
    <row r="10" spans="1:8" ht="18" customHeight="1">
      <c r="A10" s="107" t="s">
        <v>14</v>
      </c>
      <c r="B10" s="17" t="s">
        <v>28</v>
      </c>
      <c r="C10" s="128" t="s">
        <v>58</v>
      </c>
      <c r="D10" s="128"/>
      <c r="E10" s="128"/>
      <c r="F10" s="128"/>
      <c r="G10" s="128"/>
      <c r="H10" s="128"/>
    </row>
    <row r="11" spans="1:8" ht="32.1" customHeight="1">
      <c r="A11" s="107" t="s">
        <v>14</v>
      </c>
      <c r="B11" s="16" t="s">
        <v>29</v>
      </c>
      <c r="C11" s="129" t="s">
        <v>56</v>
      </c>
      <c r="D11" s="129"/>
      <c r="E11" s="129"/>
      <c r="F11" s="129"/>
      <c r="G11" s="129"/>
      <c r="H11" s="129"/>
    </row>
    <row r="12" spans="1:8" ht="18" customHeight="1">
      <c r="A12" s="107" t="s">
        <v>14</v>
      </c>
      <c r="B12" s="17" t="s">
        <v>30</v>
      </c>
      <c r="C12" s="128" t="s">
        <v>49</v>
      </c>
      <c r="D12" s="128"/>
      <c r="E12" s="128"/>
      <c r="F12" s="128"/>
      <c r="G12" s="128"/>
      <c r="H12" s="128"/>
    </row>
    <row r="13" spans="1:8" ht="18" customHeight="1">
      <c r="A13" s="107" t="s">
        <v>14</v>
      </c>
      <c r="B13" s="17" t="s">
        <v>31</v>
      </c>
      <c r="C13" s="128" t="s">
        <v>50</v>
      </c>
      <c r="D13" s="128"/>
      <c r="E13" s="128"/>
      <c r="F13" s="128"/>
      <c r="G13" s="128"/>
      <c r="H13" s="128"/>
    </row>
    <row r="14" spans="1:8" ht="32.1" customHeight="1">
      <c r="A14" s="107" t="s">
        <v>14</v>
      </c>
      <c r="B14" s="16" t="s">
        <v>78</v>
      </c>
      <c r="C14" s="129" t="s">
        <v>51</v>
      </c>
      <c r="D14" s="129"/>
      <c r="E14" s="129"/>
      <c r="F14" s="129"/>
      <c r="G14" s="129"/>
      <c r="H14" s="129"/>
    </row>
    <row r="15" spans="1:8" ht="18" customHeight="1">
      <c r="A15" s="107" t="s">
        <v>14</v>
      </c>
      <c r="B15" s="17" t="s">
        <v>33</v>
      </c>
      <c r="C15" s="128" t="s">
        <v>52</v>
      </c>
      <c r="D15" s="128"/>
      <c r="E15" s="128"/>
      <c r="F15" s="128"/>
      <c r="G15" s="128"/>
      <c r="H15" s="128"/>
    </row>
    <row r="16" spans="1:8" ht="18" customHeight="1">
      <c r="A16" s="107" t="s">
        <v>14</v>
      </c>
      <c r="B16" s="16" t="s">
        <v>34</v>
      </c>
      <c r="C16" s="129" t="s">
        <v>47</v>
      </c>
      <c r="D16" s="129"/>
      <c r="E16" s="129"/>
      <c r="F16" s="129"/>
      <c r="G16" s="129"/>
      <c r="H16" s="129"/>
    </row>
    <row r="17" spans="1:8" ht="18" customHeight="1">
      <c r="A17" s="107" t="s">
        <v>14</v>
      </c>
      <c r="B17" s="17" t="s">
        <v>35</v>
      </c>
      <c r="C17" s="128" t="s">
        <v>53</v>
      </c>
      <c r="D17" s="128"/>
      <c r="E17" s="128"/>
      <c r="F17" s="128"/>
      <c r="G17" s="128"/>
      <c r="H17" s="128"/>
    </row>
    <row r="18" spans="1:8" ht="18" customHeight="1">
      <c r="A18" s="107" t="s">
        <v>14</v>
      </c>
      <c r="B18" s="16" t="s">
        <v>36</v>
      </c>
      <c r="C18" s="129" t="s">
        <v>54</v>
      </c>
      <c r="D18" s="129"/>
      <c r="E18" s="129"/>
      <c r="F18" s="129"/>
      <c r="G18" s="129"/>
      <c r="H18" s="129"/>
    </row>
    <row r="19" spans="1:8" ht="18" customHeight="1">
      <c r="A19" s="107" t="s">
        <v>14</v>
      </c>
      <c r="B19" s="17" t="s">
        <v>37</v>
      </c>
      <c r="C19" s="128" t="s">
        <v>48</v>
      </c>
      <c r="D19" s="128"/>
      <c r="E19" s="128"/>
      <c r="F19" s="128"/>
      <c r="G19" s="128"/>
      <c r="H19" s="128"/>
    </row>
    <row r="20" spans="1:8" ht="18" customHeight="1">
      <c r="A20" s="107" t="s">
        <v>14</v>
      </c>
      <c r="B20" s="16" t="s">
        <v>38</v>
      </c>
      <c r="C20" s="129" t="s">
        <v>46</v>
      </c>
      <c r="D20" s="129"/>
      <c r="E20" s="129"/>
      <c r="F20" s="129"/>
      <c r="G20" s="129"/>
      <c r="H20" s="129"/>
    </row>
    <row r="21" spans="1:8" ht="18" customHeight="1">
      <c r="A21" s="107" t="s">
        <v>14</v>
      </c>
      <c r="B21" s="17" t="s">
        <v>39</v>
      </c>
      <c r="C21" s="128" t="s">
        <v>45</v>
      </c>
      <c r="D21" s="128"/>
      <c r="E21" s="128"/>
      <c r="F21" s="128"/>
      <c r="G21" s="128"/>
      <c r="H21" s="128"/>
    </row>
    <row r="22" spans="1:8" ht="32.1" customHeight="1">
      <c r="A22" s="107" t="s">
        <v>14</v>
      </c>
      <c r="B22" s="16" t="s">
        <v>40</v>
      </c>
      <c r="C22" s="129" t="s">
        <v>44</v>
      </c>
      <c r="D22" s="129"/>
      <c r="E22" s="129"/>
      <c r="F22" s="129"/>
      <c r="G22" s="129"/>
      <c r="H22" s="129"/>
    </row>
    <row r="23" spans="1:8" ht="18" customHeight="1">
      <c r="A23" s="107" t="s">
        <v>14</v>
      </c>
      <c r="B23" s="17" t="s">
        <v>41</v>
      </c>
      <c r="C23" s="128" t="s">
        <v>55</v>
      </c>
      <c r="D23" s="128"/>
      <c r="E23" s="128"/>
      <c r="F23" s="128"/>
      <c r="G23" s="128"/>
      <c r="H23" s="128"/>
    </row>
    <row r="24" spans="1:8" ht="18" customHeight="1">
      <c r="A24" s="107" t="s">
        <v>14</v>
      </c>
      <c r="B24" s="16" t="s">
        <v>42</v>
      </c>
      <c r="C24" s="129" t="s">
        <v>43</v>
      </c>
      <c r="D24" s="129"/>
      <c r="E24" s="129"/>
      <c r="F24" s="129"/>
      <c r="G24" s="129"/>
      <c r="H24" s="129"/>
    </row>
  </sheetData>
  <mergeCells count="19">
    <mergeCell ref="C11:H11"/>
    <mergeCell ref="C6:H6"/>
    <mergeCell ref="C7:H7"/>
    <mergeCell ref="C8:H8"/>
    <mergeCell ref="C9:H9"/>
    <mergeCell ref="C10:H10"/>
    <mergeCell ref="C12:H12"/>
    <mergeCell ref="C13:H13"/>
    <mergeCell ref="C14:H14"/>
    <mergeCell ref="C15:H15"/>
    <mergeCell ref="C22:H22"/>
    <mergeCell ref="C23:H23"/>
    <mergeCell ref="C24:H24"/>
    <mergeCell ref="C16:H16"/>
    <mergeCell ref="C17:H17"/>
    <mergeCell ref="C18:H18"/>
    <mergeCell ref="C19:H19"/>
    <mergeCell ref="C20:H20"/>
    <mergeCell ref="C21:H21"/>
  </mergeCells>
  <phoneticPr fontId="1" type="noConversion"/>
  <conditionalFormatting sqref="A7:A24">
    <cfRule type="cellIs" dxfId="0" priority="1" operator="equal">
      <formula>"Y"</formula>
    </cfRule>
  </conditionalFormatting>
  <dataValidations count="1">
    <dataValidation type="list" allowBlank="1" showInputMessage="1" showErrorMessage="1" sqref="A7:A24">
      <formula1>"Y, 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A9"/>
  <sheetViews>
    <sheetView zoomScaleNormal="100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D8" sqref="D8"/>
    </sheetView>
  </sheetViews>
  <sheetFormatPr defaultRowHeight="13.5"/>
  <cols>
    <col min="1" max="1" width="19.375" customWidth="1"/>
    <col min="2" max="2" width="17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hidden="1" customWidth="1"/>
    <col min="43" max="43" width="13.875" hidden="1" customWidth="1"/>
    <col min="44" max="44" width="15" customWidth="1"/>
    <col min="45" max="45" width="4.5" hidden="1" customWidth="1"/>
    <col min="46" max="46" width="7.5" hidden="1" customWidth="1"/>
    <col min="47" max="47" width="11.625" hidden="1" customWidth="1"/>
    <col min="48" max="48" width="13.25" hidden="1" customWidth="1"/>
    <col min="49" max="49" width="19.375" hidden="1" customWidth="1"/>
    <col min="50" max="50" width="22" hidden="1" customWidth="1"/>
    <col min="51" max="51" width="19.5" hidden="1" customWidth="1"/>
    <col min="52" max="52" width="17.25" hidden="1" customWidth="1"/>
    <col min="53" max="53" width="13.375" customWidth="1"/>
  </cols>
  <sheetData>
    <row r="1" spans="1:53"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53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</row>
    <row r="3" spans="1:53" ht="1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53" ht="42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BA4" s="40" t="s">
        <v>157</v>
      </c>
    </row>
    <row r="5" spans="1:53" ht="18" customHeight="1">
      <c r="A5" s="130" t="s">
        <v>163</v>
      </c>
      <c r="B5" s="130" t="s">
        <v>61</v>
      </c>
      <c r="C5" s="34" t="s">
        <v>122</v>
      </c>
      <c r="D5" s="132" t="s">
        <v>41</v>
      </c>
      <c r="E5" s="134"/>
      <c r="F5" s="132" t="s">
        <v>40</v>
      </c>
      <c r="G5" s="133"/>
      <c r="H5" s="133"/>
      <c r="I5" s="133"/>
      <c r="J5" s="134"/>
      <c r="K5" s="132" t="s">
        <v>66</v>
      </c>
      <c r="L5" s="133"/>
      <c r="M5" s="133"/>
      <c r="N5" s="134"/>
      <c r="O5" s="132" t="s">
        <v>67</v>
      </c>
      <c r="P5" s="134"/>
      <c r="Q5" s="132" t="s">
        <v>68</v>
      </c>
      <c r="R5" s="135"/>
      <c r="S5" s="136"/>
      <c r="T5" s="34" t="s">
        <v>76</v>
      </c>
      <c r="U5" s="132" t="s">
        <v>77</v>
      </c>
      <c r="V5" s="134"/>
      <c r="W5" s="132" t="s">
        <v>75</v>
      </c>
      <c r="X5" s="133"/>
      <c r="Y5" s="133"/>
      <c r="Z5" s="133"/>
      <c r="AA5" s="133"/>
      <c r="AB5" s="134"/>
      <c r="AC5" s="132" t="s">
        <v>33</v>
      </c>
      <c r="AD5" s="133"/>
      <c r="AE5" s="134"/>
      <c r="AF5" s="132" t="s">
        <v>78</v>
      </c>
      <c r="AG5" s="133"/>
      <c r="AH5" s="134"/>
      <c r="AI5" s="34" t="s">
        <v>79</v>
      </c>
      <c r="AJ5" s="34" t="s">
        <v>30</v>
      </c>
      <c r="AK5" s="132" t="s">
        <v>87</v>
      </c>
      <c r="AL5" s="134"/>
      <c r="AM5" s="34" t="s">
        <v>28</v>
      </c>
      <c r="AN5" s="132" t="s">
        <v>27</v>
      </c>
      <c r="AO5" s="134"/>
      <c r="AP5" s="132" t="s">
        <v>88</v>
      </c>
      <c r="AQ5" s="134"/>
      <c r="AR5" s="33" t="s">
        <v>25</v>
      </c>
      <c r="AS5" s="34" t="s">
        <v>84</v>
      </c>
      <c r="AT5" s="34" t="s">
        <v>85</v>
      </c>
      <c r="AU5" s="34" t="s">
        <v>86</v>
      </c>
      <c r="AV5" s="132" t="s">
        <v>82</v>
      </c>
      <c r="AW5" s="134"/>
      <c r="AX5" s="132" t="s">
        <v>83</v>
      </c>
      <c r="AY5" s="133"/>
      <c r="AZ5" s="134"/>
    </row>
    <row r="6" spans="1:53" ht="14.25" customHeight="1">
      <c r="A6" s="131"/>
      <c r="B6" s="131"/>
      <c r="C6" s="19" t="s">
        <v>121</v>
      </c>
      <c r="D6" s="20" t="s">
        <v>103</v>
      </c>
      <c r="E6" s="19" t="s">
        <v>261</v>
      </c>
      <c r="F6" s="20" t="s">
        <v>62</v>
      </c>
      <c r="G6" s="19" t="s">
        <v>69</v>
      </c>
      <c r="H6" s="19" t="s">
        <v>63</v>
      </c>
      <c r="I6" s="19" t="s">
        <v>64</v>
      </c>
      <c r="J6" s="19" t="s">
        <v>262</v>
      </c>
      <c r="K6" s="20" t="s">
        <v>70</v>
      </c>
      <c r="L6" s="19" t="s">
        <v>71</v>
      </c>
      <c r="M6" s="19" t="s">
        <v>72</v>
      </c>
      <c r="N6" s="19" t="s">
        <v>263</v>
      </c>
      <c r="O6" s="20" t="s">
        <v>73</v>
      </c>
      <c r="P6" s="19" t="s">
        <v>265</v>
      </c>
      <c r="Q6" s="20" t="s">
        <v>74</v>
      </c>
      <c r="R6" s="19" t="s">
        <v>65</v>
      </c>
      <c r="S6" s="19" t="s">
        <v>266</v>
      </c>
      <c r="T6" s="20" t="s">
        <v>94</v>
      </c>
      <c r="U6" s="20" t="s">
        <v>95</v>
      </c>
      <c r="V6" s="19" t="s">
        <v>141</v>
      </c>
      <c r="W6" s="20" t="s">
        <v>89</v>
      </c>
      <c r="X6" s="20" t="s">
        <v>90</v>
      </c>
      <c r="Y6" s="20" t="s">
        <v>91</v>
      </c>
      <c r="Z6" s="20" t="s">
        <v>92</v>
      </c>
      <c r="AA6" s="19" t="s">
        <v>93</v>
      </c>
      <c r="AB6" s="19" t="s">
        <v>267</v>
      </c>
      <c r="AC6" s="20" t="s">
        <v>100</v>
      </c>
      <c r="AD6" s="19" t="s">
        <v>101</v>
      </c>
      <c r="AE6" s="19" t="s">
        <v>269</v>
      </c>
      <c r="AF6" s="20" t="s">
        <v>96</v>
      </c>
      <c r="AG6" s="20" t="s">
        <v>97</v>
      </c>
      <c r="AH6" s="19" t="s">
        <v>98</v>
      </c>
      <c r="AI6" s="20" t="s">
        <v>99</v>
      </c>
      <c r="AJ6" s="19" t="s">
        <v>102</v>
      </c>
      <c r="AK6" s="19" t="s">
        <v>112</v>
      </c>
      <c r="AL6" s="19" t="s">
        <v>113</v>
      </c>
      <c r="AM6" s="19" t="s">
        <v>120</v>
      </c>
      <c r="AN6" s="19" t="s">
        <v>117</v>
      </c>
      <c r="AO6" s="19" t="s">
        <v>118</v>
      </c>
      <c r="AP6" s="19" t="s">
        <v>114</v>
      </c>
      <c r="AQ6" s="19" t="s">
        <v>115</v>
      </c>
      <c r="AR6" s="19" t="s">
        <v>111</v>
      </c>
      <c r="AS6" s="19" t="s">
        <v>108</v>
      </c>
      <c r="AT6" s="19" t="s">
        <v>109</v>
      </c>
      <c r="AU6" s="19" t="s">
        <v>110</v>
      </c>
      <c r="AV6" s="20" t="s">
        <v>104</v>
      </c>
      <c r="AW6" s="19" t="s">
        <v>271</v>
      </c>
      <c r="AX6" s="20" t="s">
        <v>105</v>
      </c>
      <c r="AY6" s="20" t="s">
        <v>106</v>
      </c>
      <c r="AZ6" s="19" t="s">
        <v>107</v>
      </c>
    </row>
    <row r="7" spans="1:53" ht="14.25" customHeight="1">
      <c r="A7" s="55" t="str">
        <f t="shared" ref="A7:A9" ca="1" si="0">INDIRECT("节点信息" &amp; "!$C" &amp; ROW())</f>
        <v>172.16.1.11</v>
      </c>
      <c r="B7" s="36" t="s">
        <v>151</v>
      </c>
      <c r="C7" s="37" t="s">
        <v>14</v>
      </c>
      <c r="D7" s="37" t="s">
        <v>14</v>
      </c>
      <c r="E7" s="37"/>
      <c r="F7" s="37"/>
      <c r="G7" s="37" t="s">
        <v>14</v>
      </c>
      <c r="H7" s="37" t="s">
        <v>14</v>
      </c>
      <c r="I7" s="37"/>
      <c r="J7" s="37"/>
      <c r="K7" s="37"/>
      <c r="L7" s="37" t="s">
        <v>14</v>
      </c>
      <c r="M7" s="37"/>
      <c r="N7" s="37"/>
      <c r="O7" s="37"/>
      <c r="P7" s="37"/>
      <c r="Q7" s="37"/>
      <c r="R7" s="37" t="s">
        <v>14</v>
      </c>
      <c r="S7" s="37"/>
      <c r="T7" s="37" t="s">
        <v>14</v>
      </c>
      <c r="U7" s="37"/>
      <c r="V7" s="37" t="s">
        <v>14</v>
      </c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 t="s">
        <v>14</v>
      </c>
      <c r="AK7" s="37" t="s">
        <v>14</v>
      </c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 t="s">
        <v>14</v>
      </c>
      <c r="AR7" s="37" t="s">
        <v>14</v>
      </c>
      <c r="AS7" s="37"/>
      <c r="AT7" s="37"/>
      <c r="AU7" s="37"/>
      <c r="AV7" s="37"/>
      <c r="AW7" s="37"/>
      <c r="AX7" s="37"/>
      <c r="AY7" s="37"/>
      <c r="AZ7" s="37" t="s">
        <v>14</v>
      </c>
    </row>
    <row r="8" spans="1:53">
      <c r="A8" s="55" t="str">
        <f t="shared" ca="1" si="0"/>
        <v>172.16.1.36</v>
      </c>
      <c r="B8" s="36" t="s">
        <v>151</v>
      </c>
      <c r="C8" s="37" t="s">
        <v>14</v>
      </c>
      <c r="D8" s="37" t="s">
        <v>14</v>
      </c>
      <c r="E8" s="37" t="s">
        <v>14</v>
      </c>
      <c r="F8" s="37" t="s">
        <v>14</v>
      </c>
      <c r="G8" s="37" t="s">
        <v>14</v>
      </c>
      <c r="H8" s="37" t="s">
        <v>14</v>
      </c>
      <c r="I8" s="37" t="s">
        <v>14</v>
      </c>
      <c r="J8" s="37" t="s">
        <v>14</v>
      </c>
      <c r="K8" s="37" t="s">
        <v>14</v>
      </c>
      <c r="L8" s="37" t="s">
        <v>14</v>
      </c>
      <c r="M8" s="37"/>
      <c r="N8" s="37" t="s">
        <v>14</v>
      </c>
      <c r="O8" s="37"/>
      <c r="P8" s="37" t="s">
        <v>14</v>
      </c>
      <c r="Q8" s="37" t="s">
        <v>14</v>
      </c>
      <c r="R8" s="37" t="s">
        <v>14</v>
      </c>
      <c r="S8" s="37" t="s">
        <v>14</v>
      </c>
      <c r="T8" s="37" t="s">
        <v>14</v>
      </c>
      <c r="U8" s="37" t="s">
        <v>14</v>
      </c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 t="s">
        <v>14</v>
      </c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 t="s">
        <v>14</v>
      </c>
      <c r="AQ8" s="37" t="s">
        <v>14</v>
      </c>
      <c r="AR8" s="37" t="s">
        <v>14</v>
      </c>
      <c r="AS8" s="37"/>
      <c r="AT8" s="37"/>
      <c r="AU8" s="37"/>
      <c r="AV8" s="37" t="s">
        <v>14</v>
      </c>
      <c r="AW8" s="37" t="s">
        <v>14</v>
      </c>
      <c r="AX8" s="37" t="s">
        <v>14</v>
      </c>
      <c r="AY8" s="37" t="s">
        <v>14</v>
      </c>
      <c r="AZ8" s="37" t="s">
        <v>14</v>
      </c>
    </row>
    <row r="9" spans="1:53">
      <c r="A9" s="54" t="str">
        <f t="shared" ca="1" si="0"/>
        <v>172.16.1.43</v>
      </c>
      <c r="B9" s="36" t="s">
        <v>152</v>
      </c>
      <c r="C9" s="37" t="s">
        <v>14</v>
      </c>
      <c r="D9" s="37" t="s">
        <v>14</v>
      </c>
      <c r="E9" s="37"/>
      <c r="F9" s="37" t="s">
        <v>14</v>
      </c>
      <c r="G9" s="37" t="s">
        <v>14</v>
      </c>
      <c r="H9" s="37" t="s">
        <v>14</v>
      </c>
      <c r="I9" s="37" t="s">
        <v>14</v>
      </c>
      <c r="J9" s="37"/>
      <c r="K9" s="37" t="s">
        <v>14</v>
      </c>
      <c r="L9" s="37" t="s">
        <v>14</v>
      </c>
      <c r="M9" s="37" t="s">
        <v>14</v>
      </c>
      <c r="N9" s="37"/>
      <c r="O9" s="37" t="s">
        <v>14</v>
      </c>
      <c r="P9" s="37"/>
      <c r="Q9" s="37" t="s">
        <v>14</v>
      </c>
      <c r="R9" s="37" t="s">
        <v>14</v>
      </c>
      <c r="S9" s="37"/>
      <c r="T9" s="37" t="s">
        <v>14</v>
      </c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 t="s">
        <v>14</v>
      </c>
      <c r="AQ9" s="37" t="s">
        <v>14</v>
      </c>
      <c r="AR9" s="37" t="s">
        <v>14</v>
      </c>
      <c r="AS9" s="37" t="s">
        <v>14</v>
      </c>
      <c r="AT9" s="37" t="s">
        <v>14</v>
      </c>
      <c r="AU9" s="37" t="s">
        <v>14</v>
      </c>
      <c r="AV9" s="37"/>
      <c r="AW9" s="37"/>
      <c r="AX9" s="37" t="s">
        <v>14</v>
      </c>
      <c r="AY9" s="37"/>
      <c r="AZ9" s="37" t="s">
        <v>14</v>
      </c>
    </row>
  </sheetData>
  <mergeCells count="16">
    <mergeCell ref="A5:A6"/>
    <mergeCell ref="AX5:AZ5"/>
    <mergeCell ref="B5:B6"/>
    <mergeCell ref="U5:V5"/>
    <mergeCell ref="AF5:AH5"/>
    <mergeCell ref="AK5:AL5"/>
    <mergeCell ref="AN5:AO5"/>
    <mergeCell ref="AP5:AQ5"/>
    <mergeCell ref="F5:J5"/>
    <mergeCell ref="K5:N5"/>
    <mergeCell ref="Q5:S5"/>
    <mergeCell ref="W5:AB5"/>
    <mergeCell ref="AC5:AE5"/>
    <mergeCell ref="AV5:AW5"/>
    <mergeCell ref="D5:E5"/>
    <mergeCell ref="O5:P5"/>
  </mergeCells>
  <phoneticPr fontId="1" type="noConversion"/>
  <dataValidations count="1">
    <dataValidation type="list" allowBlank="1" showInputMessage="1" showErrorMessage="1" sqref="C7:AZ9">
      <formula1>"Y, 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9"/>
  <sheetViews>
    <sheetView topLeftCell="B1" zoomScaleNormal="100" workbookViewId="0">
      <pane ySplit="6" topLeftCell="A7" activePane="bottomLeft" state="frozenSplit"/>
      <selection pane="bottomLeft" activeCell="A7" sqref="A7:N9"/>
    </sheetView>
  </sheetViews>
  <sheetFormatPr defaultRowHeight="13.5"/>
  <cols>
    <col min="1" max="1" width="16.625" customWidth="1"/>
    <col min="2" max="2" width="11.75" customWidth="1"/>
    <col min="3" max="3" width="12" customWidth="1"/>
    <col min="4" max="4" width="12.75" customWidth="1"/>
    <col min="5" max="5" width="14" customWidth="1"/>
    <col min="6" max="6" width="16.375" customWidth="1"/>
    <col min="7" max="7" width="13.625" customWidth="1"/>
    <col min="8" max="8" width="10" customWidth="1"/>
    <col min="9" max="9" width="11.25" customWidth="1"/>
    <col min="10" max="10" width="13.375" customWidth="1"/>
    <col min="11" max="11" width="12.375" customWidth="1"/>
    <col min="12" max="12" width="14.625" customWidth="1"/>
    <col min="13" max="13" width="11" customWidth="1"/>
    <col min="14" max="14" width="10.625" hidden="1" customWidth="1"/>
    <col min="15" max="15" width="17.25" customWidth="1"/>
    <col min="16" max="19" width="9" customWidth="1"/>
  </cols>
  <sheetData>
    <row r="1" spans="1:19" ht="35.1" customHeight="1">
      <c r="A1" s="58"/>
      <c r="B1" s="58"/>
      <c r="C1" s="59"/>
      <c r="D1" s="58"/>
      <c r="E1" s="58"/>
      <c r="F1" s="58"/>
      <c r="G1" s="58"/>
      <c r="H1" s="58"/>
      <c r="I1" s="58"/>
      <c r="J1" s="58"/>
      <c r="K1" s="59"/>
      <c r="L1" s="59"/>
      <c r="M1" s="59"/>
      <c r="N1" s="59"/>
    </row>
    <row r="2" spans="1:19" ht="37.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9"/>
      <c r="L2" s="59"/>
      <c r="M2" s="59"/>
      <c r="N2" s="59"/>
    </row>
    <row r="3" spans="1:19" ht="36" customHeight="1">
      <c r="A3" s="60"/>
      <c r="B3" s="60"/>
      <c r="C3" s="61"/>
      <c r="D3" s="60"/>
      <c r="E3" s="60"/>
      <c r="F3" s="60"/>
      <c r="G3" s="60"/>
      <c r="H3" s="60"/>
      <c r="I3" s="60"/>
      <c r="J3" s="60"/>
      <c r="K3" s="61"/>
      <c r="L3" s="61"/>
      <c r="M3" s="61"/>
      <c r="N3" s="61"/>
      <c r="O3" s="137" t="s">
        <v>175</v>
      </c>
    </row>
    <row r="4" spans="1:19" ht="21.75" customHeight="1">
      <c r="A4" s="17"/>
      <c r="B4" s="64" t="s">
        <v>185</v>
      </c>
      <c r="C4" s="51" t="s">
        <v>186</v>
      </c>
      <c r="D4" s="58"/>
      <c r="E4" s="58"/>
      <c r="F4" s="58"/>
      <c r="G4" s="58"/>
      <c r="H4" s="58"/>
      <c r="I4" s="84"/>
      <c r="J4" s="84"/>
      <c r="K4" s="84"/>
      <c r="L4" s="84"/>
      <c r="M4" s="84"/>
      <c r="N4" s="84"/>
      <c r="O4" s="138"/>
    </row>
    <row r="5" spans="1:19" s="39" customFormat="1" ht="21" customHeight="1">
      <c r="A5" s="139" t="s">
        <v>182</v>
      </c>
      <c r="B5" s="139" t="s">
        <v>221</v>
      </c>
      <c r="C5" s="141" t="s">
        <v>183</v>
      </c>
      <c r="D5" s="142"/>
      <c r="E5" s="142"/>
      <c r="F5" s="142"/>
      <c r="G5" s="142"/>
      <c r="H5" s="143"/>
      <c r="I5" s="145" t="s">
        <v>180</v>
      </c>
      <c r="J5" s="146"/>
      <c r="K5" s="146"/>
      <c r="L5" s="146"/>
      <c r="M5" s="146"/>
      <c r="N5" s="127"/>
    </row>
    <row r="6" spans="1:19" ht="18" customHeight="1">
      <c r="A6" s="140"/>
      <c r="B6" s="144"/>
      <c r="C6" s="62" t="s">
        <v>184</v>
      </c>
      <c r="D6" s="63" t="s">
        <v>187</v>
      </c>
      <c r="E6" s="63" t="s">
        <v>188</v>
      </c>
      <c r="F6" s="63" t="s">
        <v>189</v>
      </c>
      <c r="G6" s="63" t="s">
        <v>219</v>
      </c>
      <c r="H6" s="63" t="s">
        <v>190</v>
      </c>
      <c r="I6" s="63" t="s">
        <v>220</v>
      </c>
      <c r="J6" s="63" t="s">
        <v>181</v>
      </c>
      <c r="K6" s="62" t="s">
        <v>176</v>
      </c>
      <c r="L6" s="62" t="s">
        <v>177</v>
      </c>
      <c r="M6" s="62" t="s">
        <v>179</v>
      </c>
      <c r="N6" s="62" t="s">
        <v>178</v>
      </c>
    </row>
    <row r="7" spans="1:19" ht="14.25">
      <c r="A7" s="55" t="str">
        <f ca="1">INDIRECT("节点信息" &amp; "!$C" &amp; ROW())</f>
        <v>172.16.1.11</v>
      </c>
      <c r="B7" s="67">
        <v>10</v>
      </c>
      <c r="C7" s="51">
        <v>3</v>
      </c>
      <c r="D7" s="55" t="s">
        <v>14</v>
      </c>
      <c r="E7" s="55"/>
      <c r="F7" s="55" t="s">
        <v>14</v>
      </c>
      <c r="G7" s="55"/>
      <c r="H7" s="55" t="s">
        <v>14</v>
      </c>
      <c r="I7" s="67">
        <v>7</v>
      </c>
      <c r="J7" s="85">
        <v>1</v>
      </c>
      <c r="K7" s="51">
        <v>1</v>
      </c>
      <c r="L7" s="51">
        <v>1</v>
      </c>
      <c r="M7" s="51">
        <v>1</v>
      </c>
      <c r="N7" s="51">
        <v>0</v>
      </c>
    </row>
    <row r="8" spans="1:19" ht="14.25">
      <c r="A8" s="55" t="str">
        <f ca="1">INDIRECT("节点信息" &amp; "!$C" &amp; ROW())</f>
        <v>172.16.1.36</v>
      </c>
      <c r="B8" s="67">
        <v>10</v>
      </c>
      <c r="C8" s="51">
        <v>4</v>
      </c>
      <c r="D8" s="55" t="s">
        <v>14</v>
      </c>
      <c r="E8" s="55" t="s">
        <v>14</v>
      </c>
      <c r="F8" s="55" t="s">
        <v>14</v>
      </c>
      <c r="G8" s="55"/>
      <c r="H8" s="55" t="s">
        <v>14</v>
      </c>
      <c r="I8" s="67">
        <v>6</v>
      </c>
      <c r="J8" s="85">
        <v>1</v>
      </c>
      <c r="K8" s="51">
        <v>1</v>
      </c>
      <c r="L8" s="51">
        <v>1</v>
      </c>
      <c r="M8" s="51">
        <v>1</v>
      </c>
      <c r="N8" s="51">
        <v>0</v>
      </c>
    </row>
    <row r="9" spans="1:19" ht="18" customHeight="1">
      <c r="A9" s="55" t="str">
        <f ca="1">INDIRECT("节点信息" &amp; "!$C" &amp; ROW())</f>
        <v>172.16.1.43</v>
      </c>
      <c r="B9" s="67">
        <v>10</v>
      </c>
      <c r="C9" s="51">
        <v>3</v>
      </c>
      <c r="D9" s="55" t="s">
        <v>14</v>
      </c>
      <c r="E9" s="55" t="s">
        <v>14</v>
      </c>
      <c r="F9" s="55" t="s">
        <v>14</v>
      </c>
      <c r="G9" s="55"/>
      <c r="H9" s="55"/>
      <c r="I9" s="67">
        <v>7</v>
      </c>
      <c r="J9" s="85">
        <v>1</v>
      </c>
      <c r="K9" s="51">
        <v>1</v>
      </c>
      <c r="L9" s="51">
        <v>1</v>
      </c>
      <c r="M9" s="51">
        <v>1</v>
      </c>
      <c r="N9" s="51">
        <v>0</v>
      </c>
      <c r="O9" s="14"/>
      <c r="S9" s="68"/>
    </row>
  </sheetData>
  <dataConsolidate/>
  <mergeCells count="5">
    <mergeCell ref="O3:O4"/>
    <mergeCell ref="A5:A6"/>
    <mergeCell ref="C5:H5"/>
    <mergeCell ref="B5:B6"/>
    <mergeCell ref="I5:N5"/>
  </mergeCells>
  <phoneticPr fontId="1" type="noConversion"/>
  <dataValidations count="2">
    <dataValidation type="list" allowBlank="1" showInputMessage="1" showErrorMessage="1" sqref="C1 C3">
      <formula1>"0,1,2,3,4"</formula1>
    </dataValidation>
    <dataValidation type="list" allowBlank="1" showInputMessage="1" showErrorMessage="1" sqref="C4">
      <formula1>"非共享,共享"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4"/>
  <sheetViews>
    <sheetView workbookViewId="0"/>
  </sheetViews>
  <sheetFormatPr defaultRowHeight="13.5"/>
  <cols>
    <col min="1" max="1" width="24.5" customWidth="1"/>
    <col min="2" max="2" width="35.75" customWidth="1"/>
    <col min="3" max="3" width="13.875" customWidth="1"/>
    <col min="6" max="6" width="6.375" customWidth="1"/>
    <col min="7" max="7" width="5.75" customWidth="1"/>
  </cols>
  <sheetData>
    <row r="2" spans="1:7" ht="111.75" customHeight="1">
      <c r="A2" s="147" t="s">
        <v>196</v>
      </c>
      <c r="B2" s="148"/>
      <c r="C2" s="148"/>
      <c r="D2" s="148"/>
      <c r="E2" s="148"/>
      <c r="F2" s="148"/>
      <c r="G2" s="148"/>
    </row>
    <row r="4" spans="1:7" ht="30" customHeight="1">
      <c r="A4" s="69" t="s">
        <v>195</v>
      </c>
      <c r="B4" s="70" t="s">
        <v>304</v>
      </c>
    </row>
  </sheetData>
  <mergeCells count="1">
    <mergeCell ref="A2:G2"/>
  </mergeCells>
  <phoneticPr fontId="1" type="noConversion"/>
  <dataValidations count="1">
    <dataValidation type="list" allowBlank="1" showInputMessage="1" showErrorMessage="1" sqref="I8">
      <formula1>"0"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ConfFile">
                <anchor moveWithCells="1" sizeWithCells="1">
                  <from>
                    <xdr:col>0</xdr:col>
                    <xdr:colOff>0</xdr:colOff>
                    <xdr:row>5</xdr:row>
                    <xdr:rowOff>161925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1.filePath_Click">
                <anchor moveWithCells="1">
                  <from>
                    <xdr:col>2</xdr:col>
                    <xdr:colOff>9525</xdr:colOff>
                    <xdr:row>2</xdr:row>
                    <xdr:rowOff>161925</xdr:rowOff>
                  </from>
                  <to>
                    <xdr:col>2</xdr:col>
                    <xdr:colOff>1047750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6:W25"/>
  <sheetViews>
    <sheetView zoomScaleNormal="100" workbookViewId="0">
      <selection activeCell="F7" sqref="F7:W7"/>
    </sheetView>
  </sheetViews>
  <sheetFormatPr defaultRowHeight="13.5"/>
  <cols>
    <col min="5" max="6" width="15" bestFit="1" customWidth="1"/>
    <col min="7" max="7" width="5.5" bestFit="1" customWidth="1"/>
    <col min="8" max="8" width="11.625" bestFit="1" customWidth="1"/>
    <col min="9" max="9" width="5.5" bestFit="1" customWidth="1"/>
    <col min="10" max="10" width="5.5" customWidth="1"/>
    <col min="11" max="11" width="6.5" bestFit="1" customWidth="1"/>
    <col min="12" max="12" width="11.625" bestFit="1" customWidth="1"/>
    <col min="13" max="14" width="7.5" bestFit="1" customWidth="1"/>
    <col min="15" max="15" width="5.5" customWidth="1"/>
    <col min="16" max="18" width="6.5" customWidth="1"/>
    <col min="19" max="19" width="11.625" bestFit="1" customWidth="1"/>
    <col min="20" max="21" width="5.5" customWidth="1"/>
    <col min="22" max="22" width="10.5" bestFit="1" customWidth="1"/>
    <col min="23" max="23" width="9.5" bestFit="1" customWidth="1"/>
  </cols>
  <sheetData>
    <row r="6" spans="4:23">
      <c r="F6" s="25">
        <v>1</v>
      </c>
      <c r="G6" s="25">
        <v>2</v>
      </c>
      <c r="H6" s="25">
        <v>3</v>
      </c>
      <c r="I6" s="25">
        <v>4</v>
      </c>
      <c r="J6" s="25">
        <v>5</v>
      </c>
      <c r="K6" s="25">
        <v>6</v>
      </c>
      <c r="L6" s="25">
        <v>7</v>
      </c>
      <c r="M6" s="25">
        <v>8</v>
      </c>
      <c r="N6" s="25">
        <v>9</v>
      </c>
      <c r="O6" s="25">
        <v>10</v>
      </c>
      <c r="P6" s="25">
        <v>11</v>
      </c>
      <c r="Q6" s="25">
        <v>12</v>
      </c>
      <c r="R6" s="25">
        <v>13</v>
      </c>
      <c r="S6" s="25">
        <v>14</v>
      </c>
      <c r="T6" s="25">
        <v>15</v>
      </c>
      <c r="U6" s="25">
        <v>16</v>
      </c>
      <c r="V6" s="25">
        <v>17</v>
      </c>
      <c r="W6" s="25">
        <v>18</v>
      </c>
    </row>
    <row r="7" spans="4:23">
      <c r="E7" s="22" t="s">
        <v>123</v>
      </c>
      <c r="F7" s="22" t="s">
        <v>125</v>
      </c>
      <c r="G7" s="22" t="s">
        <v>126</v>
      </c>
      <c r="H7" s="22" t="s">
        <v>27</v>
      </c>
      <c r="I7" s="22" t="s">
        <v>127</v>
      </c>
      <c r="J7" s="22" t="s">
        <v>29</v>
      </c>
      <c r="K7" s="22" t="s">
        <v>124</v>
      </c>
      <c r="L7" s="24" t="s">
        <v>31</v>
      </c>
      <c r="M7" s="22" t="s">
        <v>32</v>
      </c>
      <c r="N7" s="22" t="s">
        <v>33</v>
      </c>
      <c r="O7" s="22" t="s">
        <v>128</v>
      </c>
      <c r="P7" s="22" t="s">
        <v>35</v>
      </c>
      <c r="Q7" s="22" t="s">
        <v>129</v>
      </c>
      <c r="R7" s="22" t="s">
        <v>156</v>
      </c>
      <c r="S7" s="22" t="s">
        <v>38</v>
      </c>
      <c r="T7" s="22" t="s">
        <v>130</v>
      </c>
      <c r="U7" s="22" t="s">
        <v>131</v>
      </c>
      <c r="V7" s="22" t="s">
        <v>132</v>
      </c>
      <c r="W7" s="22" t="s">
        <v>42</v>
      </c>
    </row>
    <row r="8" spans="4:23">
      <c r="D8" s="26">
        <v>1</v>
      </c>
      <c r="E8" s="22" t="s">
        <v>125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4:23">
      <c r="D9" s="26">
        <v>2</v>
      </c>
      <c r="E9" s="22" t="s">
        <v>126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4:23">
      <c r="D10" s="26">
        <v>3</v>
      </c>
      <c r="E10" s="22" t="s">
        <v>133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4:23">
      <c r="D11" s="26">
        <v>4</v>
      </c>
      <c r="E11" s="22" t="s">
        <v>127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4:23">
      <c r="D12" s="26">
        <v>5</v>
      </c>
      <c r="E12" s="22" t="s">
        <v>29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4:23">
      <c r="D13" s="26">
        <v>6</v>
      </c>
      <c r="E13" s="24" t="s">
        <v>30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4:23">
      <c r="D14" s="26">
        <v>7</v>
      </c>
      <c r="E14" s="24" t="s">
        <v>31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4:23">
      <c r="D15" s="26">
        <v>8</v>
      </c>
      <c r="E15" s="22" t="s">
        <v>32</v>
      </c>
      <c r="F15" s="23"/>
      <c r="G15" s="23"/>
      <c r="H15" s="23"/>
      <c r="I15" s="23"/>
      <c r="J15" s="23"/>
      <c r="K15" s="23"/>
      <c r="L15" s="23" t="s">
        <v>134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4:23">
      <c r="D16" s="26">
        <v>9</v>
      </c>
      <c r="E16" s="22" t="s">
        <v>33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4:23">
      <c r="D17" s="26">
        <v>10</v>
      </c>
      <c r="E17" s="22" t="s">
        <v>128</v>
      </c>
      <c r="F17" s="23"/>
      <c r="G17" s="23"/>
      <c r="H17" s="23"/>
      <c r="I17" s="23"/>
      <c r="J17" s="23"/>
      <c r="K17" s="23"/>
      <c r="L17" s="23"/>
      <c r="M17" s="23"/>
      <c r="N17" s="23" t="s">
        <v>134</v>
      </c>
      <c r="O17" s="23"/>
      <c r="P17" s="23"/>
      <c r="Q17" s="23"/>
      <c r="R17" s="23"/>
      <c r="S17" s="23"/>
      <c r="T17" s="23"/>
      <c r="U17" s="23"/>
      <c r="V17" s="23"/>
      <c r="W17" s="23"/>
    </row>
    <row r="18" spans="4:23">
      <c r="D18" s="26">
        <v>11</v>
      </c>
      <c r="E18" s="22" t="s">
        <v>35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4:23">
      <c r="D19" s="26">
        <v>12</v>
      </c>
      <c r="E19" s="22" t="s">
        <v>129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 t="s">
        <v>134</v>
      </c>
      <c r="Q19" s="23"/>
      <c r="R19" s="23"/>
      <c r="S19" s="23"/>
      <c r="T19" s="23"/>
      <c r="U19" s="23"/>
      <c r="V19" s="23"/>
      <c r="W19" s="23"/>
    </row>
    <row r="20" spans="4:23">
      <c r="D20" s="26">
        <v>13</v>
      </c>
      <c r="E20" s="22" t="s">
        <v>156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 t="s">
        <v>134</v>
      </c>
      <c r="Q20" s="23"/>
      <c r="R20" s="23"/>
      <c r="S20" s="23"/>
      <c r="T20" s="23"/>
      <c r="U20" s="23"/>
      <c r="V20" s="23"/>
      <c r="W20" s="23"/>
    </row>
    <row r="21" spans="4:23">
      <c r="D21" s="26">
        <v>14</v>
      </c>
      <c r="E21" s="22" t="s">
        <v>38</v>
      </c>
      <c r="F21" s="23"/>
      <c r="G21" s="23"/>
      <c r="H21" s="23"/>
      <c r="I21" s="23"/>
      <c r="J21" s="23"/>
      <c r="K21" s="23"/>
      <c r="L21" s="23"/>
      <c r="M21" s="23"/>
      <c r="N21" s="23" t="s">
        <v>134</v>
      </c>
      <c r="O21" s="23" t="s">
        <v>134</v>
      </c>
      <c r="P21" s="23"/>
      <c r="Q21" s="23"/>
      <c r="R21" s="23"/>
      <c r="S21" s="23"/>
      <c r="T21" s="23"/>
      <c r="U21" s="23"/>
      <c r="V21" s="23"/>
      <c r="W21" s="23"/>
    </row>
    <row r="22" spans="4:23">
      <c r="D22" s="26">
        <v>15</v>
      </c>
      <c r="E22" s="22" t="s">
        <v>130</v>
      </c>
      <c r="F22" s="23"/>
      <c r="G22" s="23"/>
      <c r="H22" s="23"/>
      <c r="I22" s="23"/>
      <c r="J22" s="23"/>
      <c r="K22" s="23"/>
      <c r="L22" s="23"/>
      <c r="M22" s="23"/>
      <c r="N22" s="23" t="s">
        <v>134</v>
      </c>
      <c r="O22" s="23" t="s">
        <v>134</v>
      </c>
      <c r="P22" s="23" t="s">
        <v>14</v>
      </c>
      <c r="Q22" s="23"/>
      <c r="R22" s="23" t="s">
        <v>134</v>
      </c>
      <c r="S22" s="23" t="s">
        <v>134</v>
      </c>
      <c r="T22" s="23"/>
      <c r="U22" s="23"/>
      <c r="V22" s="23"/>
      <c r="W22" s="23"/>
    </row>
    <row r="23" spans="4:23">
      <c r="D23" s="26">
        <v>16</v>
      </c>
      <c r="E23" s="22" t="s">
        <v>131</v>
      </c>
      <c r="F23" s="23"/>
      <c r="G23" s="23"/>
      <c r="H23" s="23"/>
      <c r="I23" s="23"/>
      <c r="J23" s="23"/>
      <c r="K23" s="23" t="s">
        <v>134</v>
      </c>
      <c r="L23" s="23" t="s">
        <v>134</v>
      </c>
      <c r="M23" s="23"/>
      <c r="N23" s="23" t="s">
        <v>134</v>
      </c>
      <c r="O23" s="23" t="s">
        <v>134</v>
      </c>
      <c r="P23" s="23" t="s">
        <v>134</v>
      </c>
      <c r="Q23" s="23"/>
      <c r="R23" s="23" t="s">
        <v>134</v>
      </c>
      <c r="S23" s="23" t="s">
        <v>134</v>
      </c>
      <c r="T23" s="23" t="s">
        <v>134</v>
      </c>
      <c r="U23" s="23"/>
      <c r="V23" s="23"/>
      <c r="W23" s="23"/>
    </row>
    <row r="24" spans="4:23">
      <c r="D24" s="26">
        <v>17</v>
      </c>
      <c r="E24" s="22" t="s">
        <v>132</v>
      </c>
      <c r="F24" s="23"/>
      <c r="G24" s="23"/>
      <c r="H24" s="23"/>
      <c r="I24" s="23"/>
      <c r="J24" s="23" t="s">
        <v>134</v>
      </c>
      <c r="K24" s="23" t="s">
        <v>134</v>
      </c>
      <c r="L24" s="23" t="s">
        <v>134</v>
      </c>
      <c r="M24" s="23" t="s">
        <v>134</v>
      </c>
      <c r="N24" s="23" t="s">
        <v>134</v>
      </c>
      <c r="O24" s="23" t="s">
        <v>134</v>
      </c>
      <c r="P24" s="23" t="s">
        <v>134</v>
      </c>
      <c r="Q24" s="23" t="s">
        <v>134</v>
      </c>
      <c r="R24" s="23" t="s">
        <v>134</v>
      </c>
      <c r="S24" s="23" t="s">
        <v>134</v>
      </c>
      <c r="T24" s="23" t="s">
        <v>134</v>
      </c>
      <c r="U24" s="23" t="s">
        <v>134</v>
      </c>
      <c r="V24" s="23"/>
      <c r="W24" s="23"/>
    </row>
    <row r="25" spans="4:23">
      <c r="D25" s="26">
        <v>18</v>
      </c>
      <c r="E25" s="22" t="s">
        <v>42</v>
      </c>
      <c r="F25" s="23" t="s">
        <v>134</v>
      </c>
      <c r="G25" s="23" t="s">
        <v>134</v>
      </c>
      <c r="H25" s="23" t="s">
        <v>134</v>
      </c>
      <c r="I25" s="23" t="s">
        <v>134</v>
      </c>
      <c r="J25" s="23" t="s">
        <v>134</v>
      </c>
      <c r="K25" s="23" t="s">
        <v>134</v>
      </c>
      <c r="L25" s="23" t="s">
        <v>134</v>
      </c>
      <c r="M25" s="23" t="s">
        <v>134</v>
      </c>
      <c r="N25" s="23" t="s">
        <v>134</v>
      </c>
      <c r="O25" s="23" t="s">
        <v>134</v>
      </c>
      <c r="P25" s="23" t="s">
        <v>134</v>
      </c>
      <c r="Q25" s="23" t="s">
        <v>134</v>
      </c>
      <c r="R25" s="23" t="s">
        <v>134</v>
      </c>
      <c r="S25" s="23" t="s">
        <v>134</v>
      </c>
      <c r="T25" s="23" t="s">
        <v>134</v>
      </c>
      <c r="U25" s="23" t="s">
        <v>134</v>
      </c>
      <c r="V25" s="23" t="s">
        <v>134</v>
      </c>
      <c r="W25" s="23"/>
    </row>
  </sheetData>
  <phoneticPr fontId="1" type="noConversion"/>
  <dataValidations count="1">
    <dataValidation type="list" allowBlank="1" showInputMessage="1" showErrorMessage="1" sqref="G8 G10 H9:I9 J8:K8 L16:M16 P17 P8:Q8 Q9 Q11 R22:S22 L24:U24 R23:T23 P19:P23 O21:O23 N17:N23 L15 L17:L23 K23:K24 J24 F25:V25">
      <formula1>"Y, 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Z15"/>
  <sheetViews>
    <sheetView topLeftCell="N1" zoomScaleNormal="100" workbookViewId="0">
      <selection activeCell="Q3" sqref="Q3:S3"/>
    </sheetView>
  </sheetViews>
  <sheetFormatPr defaultRowHeight="13.5"/>
  <cols>
    <col min="2" max="2" width="9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customWidth="1"/>
    <col min="43" max="43" width="13.875" customWidth="1"/>
    <col min="44" max="44" width="15" customWidth="1"/>
    <col min="45" max="45" width="4.5" customWidth="1"/>
    <col min="46" max="46" width="7.5" customWidth="1"/>
    <col min="47" max="47" width="11.625" customWidth="1"/>
    <col min="48" max="48" width="13.25" customWidth="1"/>
    <col min="49" max="49" width="19.375" customWidth="1"/>
    <col min="50" max="50" width="22" customWidth="1"/>
    <col min="51" max="51" width="19.5" customWidth="1"/>
    <col min="52" max="52" width="17.25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35" t="s">
        <v>67</v>
      </c>
      <c r="P3" s="89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49" t="s">
        <v>82</v>
      </c>
      <c r="AW3" s="150"/>
      <c r="AX3" s="132" t="s">
        <v>83</v>
      </c>
      <c r="AY3" s="133"/>
      <c r="AZ3" s="134"/>
    </row>
    <row r="4" spans="2:52" ht="14.25">
      <c r="B4" s="19" t="s">
        <v>61</v>
      </c>
      <c r="C4" s="19" t="s">
        <v>121</v>
      </c>
      <c r="D4" s="20" t="s">
        <v>103</v>
      </c>
      <c r="E4" s="19" t="s">
        <v>250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254</v>
      </c>
      <c r="O4" s="20" t="s">
        <v>73</v>
      </c>
      <c r="P4" s="19" t="s">
        <v>264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268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270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143</v>
      </c>
      <c r="C5" s="37" t="s">
        <v>14</v>
      </c>
      <c r="D5" s="37" t="s">
        <v>14</v>
      </c>
      <c r="E5" s="37"/>
      <c r="F5" s="37"/>
      <c r="G5" s="37"/>
      <c r="H5" s="37" t="s">
        <v>14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 t="s">
        <v>14</v>
      </c>
      <c r="AQ5" s="37"/>
      <c r="AR5" s="37" t="s">
        <v>14</v>
      </c>
      <c r="AS5" s="37"/>
      <c r="AT5" s="37"/>
      <c r="AU5" s="37"/>
      <c r="AV5" s="37"/>
      <c r="AW5" s="37"/>
      <c r="AX5" s="37" t="s">
        <v>14</v>
      </c>
      <c r="AY5" s="37"/>
      <c r="AZ5" s="37" t="s">
        <v>14</v>
      </c>
    </row>
    <row r="6" spans="2:52">
      <c r="B6" s="36" t="s">
        <v>142</v>
      </c>
      <c r="C6" s="37" t="s">
        <v>14</v>
      </c>
      <c r="D6" s="37" t="s">
        <v>14</v>
      </c>
      <c r="E6" s="37" t="s">
        <v>14</v>
      </c>
      <c r="F6" s="37" t="s">
        <v>14</v>
      </c>
      <c r="G6" s="37"/>
      <c r="H6" s="37" t="s">
        <v>14</v>
      </c>
      <c r="I6" s="37" t="s">
        <v>14</v>
      </c>
      <c r="J6" s="37" t="s">
        <v>14</v>
      </c>
      <c r="K6" s="37" t="s">
        <v>14</v>
      </c>
      <c r="L6" s="37"/>
      <c r="M6" s="37"/>
      <c r="N6" s="37" t="s">
        <v>14</v>
      </c>
      <c r="O6" s="37"/>
      <c r="P6" s="37" t="s">
        <v>14</v>
      </c>
      <c r="Q6" s="37" t="s">
        <v>14</v>
      </c>
      <c r="R6" s="37"/>
      <c r="S6" s="37" t="s">
        <v>14</v>
      </c>
      <c r="T6" s="37"/>
      <c r="U6" s="37"/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/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/>
      <c r="AK6" s="37"/>
      <c r="AL6" s="37"/>
      <c r="AM6" s="37"/>
      <c r="AN6" s="37"/>
      <c r="AO6" s="37" t="s">
        <v>14</v>
      </c>
      <c r="AP6" s="37" t="s">
        <v>14</v>
      </c>
      <c r="AQ6" s="37"/>
      <c r="AR6" s="37" t="s">
        <v>14</v>
      </c>
      <c r="AS6" s="37" t="s">
        <v>14</v>
      </c>
      <c r="AT6" s="37" t="s">
        <v>14</v>
      </c>
      <c r="AU6" s="37" t="s">
        <v>14</v>
      </c>
      <c r="AV6" s="37"/>
      <c r="AW6" s="37" t="s">
        <v>14</v>
      </c>
      <c r="AX6" s="37" t="s">
        <v>14</v>
      </c>
      <c r="AY6" s="37"/>
      <c r="AZ6" s="37" t="s">
        <v>14</v>
      </c>
    </row>
    <row r="7" spans="2:52">
      <c r="B7" s="36" t="s">
        <v>144</v>
      </c>
      <c r="C7" s="37" t="s">
        <v>14</v>
      </c>
      <c r="D7" s="37" t="s">
        <v>14</v>
      </c>
      <c r="E7" s="37"/>
      <c r="F7" s="37" t="s">
        <v>14</v>
      </c>
      <c r="G7" s="37"/>
      <c r="H7" s="37" t="s">
        <v>14</v>
      </c>
      <c r="I7" s="37" t="s">
        <v>14</v>
      </c>
      <c r="J7" s="37"/>
      <c r="K7" s="37" t="s">
        <v>14</v>
      </c>
      <c r="L7" s="37"/>
      <c r="M7" s="37" t="s">
        <v>14</v>
      </c>
      <c r="N7" s="37"/>
      <c r="O7" s="37" t="s">
        <v>14</v>
      </c>
      <c r="P7" s="37"/>
      <c r="Q7" s="37" t="s">
        <v>14</v>
      </c>
      <c r="R7" s="37"/>
      <c r="S7" s="37" t="s">
        <v>14</v>
      </c>
      <c r="T7" s="37"/>
      <c r="U7" s="37" t="s">
        <v>14</v>
      </c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 t="s">
        <v>14</v>
      </c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14</v>
      </c>
      <c r="AS7" s="37"/>
      <c r="AT7" s="37"/>
      <c r="AU7" s="37"/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146</v>
      </c>
      <c r="C8" s="37" t="s">
        <v>14</v>
      </c>
      <c r="D8" s="37"/>
      <c r="E8" s="37"/>
      <c r="F8" s="37"/>
      <c r="G8" s="37" t="s">
        <v>14</v>
      </c>
      <c r="H8" s="37"/>
      <c r="I8" s="37"/>
      <c r="J8" s="37"/>
      <c r="K8" s="37"/>
      <c r="L8" s="37" t="s">
        <v>14</v>
      </c>
      <c r="M8" s="37"/>
      <c r="N8" s="37"/>
      <c r="O8" s="37"/>
      <c r="P8" s="37"/>
      <c r="Q8" s="37"/>
      <c r="R8" s="37" t="s">
        <v>14</v>
      </c>
      <c r="S8" s="37"/>
      <c r="T8" s="37" t="s">
        <v>14</v>
      </c>
      <c r="U8" s="37"/>
      <c r="V8" s="37" t="s">
        <v>14</v>
      </c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/>
      <c r="AQ8" s="37" t="s">
        <v>14</v>
      </c>
      <c r="AR8" s="37" t="s">
        <v>14</v>
      </c>
      <c r="AS8" s="37"/>
      <c r="AT8" s="37"/>
      <c r="AU8" s="37"/>
      <c r="AV8" s="37"/>
      <c r="AW8" s="37"/>
      <c r="AX8" s="37"/>
      <c r="AY8" s="37"/>
      <c r="AZ8" s="37" t="s">
        <v>14</v>
      </c>
    </row>
    <row r="9" spans="2:52">
      <c r="B9" s="36" t="s">
        <v>145</v>
      </c>
      <c r="C9" s="37" t="s">
        <v>14</v>
      </c>
      <c r="D9" s="37"/>
      <c r="E9" s="37"/>
      <c r="F9" s="37"/>
      <c r="G9" s="37" t="s">
        <v>14</v>
      </c>
      <c r="H9" s="37"/>
      <c r="I9" s="37"/>
      <c r="J9" s="37"/>
      <c r="K9" s="37"/>
      <c r="L9" s="37" t="s">
        <v>14</v>
      </c>
      <c r="M9" s="37"/>
      <c r="N9" s="37"/>
      <c r="O9" s="37"/>
      <c r="P9" s="37"/>
      <c r="Q9" s="37"/>
      <c r="R9" s="37" t="s">
        <v>14</v>
      </c>
      <c r="S9" s="37"/>
      <c r="T9" s="37" t="s">
        <v>14</v>
      </c>
      <c r="U9" s="37"/>
      <c r="V9" s="37" t="s">
        <v>14</v>
      </c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/>
      <c r="AQ9" s="37" t="s">
        <v>14</v>
      </c>
      <c r="AR9" s="37" t="s">
        <v>14</v>
      </c>
      <c r="AS9" s="37"/>
      <c r="AT9" s="37"/>
      <c r="AU9" s="37"/>
      <c r="AV9" s="37"/>
      <c r="AW9" s="37"/>
      <c r="AX9" s="37"/>
      <c r="AY9" s="37"/>
      <c r="AZ9" s="37" t="s">
        <v>14</v>
      </c>
    </row>
    <row r="10" spans="2:52">
      <c r="B10" s="36" t="s">
        <v>147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14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C11">
        <v>1</v>
      </c>
      <c r="D11">
        <v>2</v>
      </c>
      <c r="E11">
        <v>3</v>
      </c>
      <c r="F11">
        <v>4</v>
      </c>
      <c r="G11">
        <v>5</v>
      </c>
      <c r="H11">
        <v>6</v>
      </c>
      <c r="I11">
        <v>7</v>
      </c>
      <c r="J11">
        <v>8</v>
      </c>
      <c r="K11">
        <v>9</v>
      </c>
      <c r="L11">
        <v>10</v>
      </c>
      <c r="M11">
        <v>11</v>
      </c>
      <c r="N11">
        <v>12</v>
      </c>
      <c r="O11">
        <v>13</v>
      </c>
      <c r="P11">
        <v>14</v>
      </c>
      <c r="Q11">
        <v>15</v>
      </c>
      <c r="R11">
        <v>16</v>
      </c>
      <c r="S11">
        <v>17</v>
      </c>
      <c r="T11">
        <v>18</v>
      </c>
      <c r="U11">
        <v>19</v>
      </c>
      <c r="V11">
        <v>20</v>
      </c>
      <c r="W11">
        <v>21</v>
      </c>
      <c r="X11">
        <v>22</v>
      </c>
      <c r="Y11">
        <v>23</v>
      </c>
      <c r="Z11">
        <v>24</v>
      </c>
      <c r="AA11">
        <v>25</v>
      </c>
      <c r="AB11">
        <v>26</v>
      </c>
      <c r="AC11">
        <v>27</v>
      </c>
      <c r="AD11">
        <v>28</v>
      </c>
      <c r="AE11">
        <v>29</v>
      </c>
      <c r="AF11">
        <v>30</v>
      </c>
      <c r="AG11">
        <v>31</v>
      </c>
      <c r="AH11">
        <v>32</v>
      </c>
      <c r="AI11">
        <v>33</v>
      </c>
      <c r="AJ11">
        <v>34</v>
      </c>
      <c r="AK11">
        <v>35</v>
      </c>
      <c r="AL11">
        <v>36</v>
      </c>
      <c r="AM11">
        <v>37</v>
      </c>
      <c r="AN11">
        <v>38</v>
      </c>
      <c r="AO11">
        <v>39</v>
      </c>
      <c r="AP11">
        <v>40</v>
      </c>
      <c r="AQ11">
        <v>41</v>
      </c>
      <c r="AR11">
        <v>42</v>
      </c>
      <c r="AS11">
        <v>43</v>
      </c>
      <c r="AT11">
        <v>44</v>
      </c>
      <c r="AU11">
        <v>45</v>
      </c>
      <c r="AV11">
        <v>46</v>
      </c>
      <c r="AW11">
        <v>47</v>
      </c>
      <c r="AX11">
        <v>48</v>
      </c>
      <c r="AY11">
        <v>49</v>
      </c>
      <c r="AZ11">
        <v>50</v>
      </c>
    </row>
    <row r="15" spans="2:52"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S15" s="14"/>
      <c r="AT15" s="14"/>
      <c r="AU15" s="14"/>
      <c r="AV15" s="14"/>
      <c r="AW15" s="14"/>
      <c r="AX15" s="14"/>
      <c r="AY15" s="14"/>
      <c r="AZ15" s="14"/>
    </row>
  </sheetData>
  <sortState ref="C29:H29">
    <sortCondition descending="1" ref="C15"/>
  </sortState>
  <mergeCells count="13"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K3:N3"/>
  </mergeCells>
  <phoneticPr fontId="1" type="noConversion"/>
  <dataValidations count="1">
    <dataValidation type="list" allowBlank="1" showInputMessage="1" showErrorMessage="1" sqref="AP5:AP7 C5:AO10 AQ5:AZ10">
      <formula1>"Y, 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Z13"/>
  <sheetViews>
    <sheetView topLeftCell="L1" zoomScaleNormal="100" workbookViewId="0">
      <selection activeCell="V12" sqref="V12"/>
    </sheetView>
  </sheetViews>
  <sheetFormatPr defaultRowHeight="13.5"/>
  <cols>
    <col min="2" max="2" width="9.5" customWidth="1"/>
    <col min="3" max="3" width="17.25" bestFit="1" customWidth="1"/>
    <col min="4" max="4" width="20.75" bestFit="1" customWidth="1"/>
    <col min="5" max="5" width="18.375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customWidth="1"/>
    <col min="11" max="11" width="19.5" bestFit="1" customWidth="1"/>
    <col min="12" max="12" width="12.75" bestFit="1" customWidth="1"/>
    <col min="13" max="13" width="21.625" bestFit="1" customWidth="1"/>
    <col min="14" max="14" width="12.75" customWidth="1"/>
    <col min="15" max="15" width="17" bestFit="1" customWidth="1"/>
    <col min="16" max="16" width="19.375" customWidth="1"/>
    <col min="17" max="17" width="15.75" bestFit="1" customWidth="1"/>
    <col min="18" max="18" width="20.5" bestFit="1" customWidth="1"/>
    <col min="19" max="19" width="13.875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bestFit="1" customWidth="1"/>
    <col min="28" max="28" width="12.75" customWidth="1"/>
    <col min="29" max="29" width="29.5" bestFit="1" customWidth="1"/>
    <col min="30" max="30" width="21.625" bestFit="1" customWidth="1"/>
    <col min="31" max="31" width="15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bestFit="1" customWidth="1"/>
    <col min="46" max="46" width="7.5" bestFit="1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153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258</v>
      </c>
      <c r="O4" s="20" t="s">
        <v>73</v>
      </c>
      <c r="P4" s="19" t="s">
        <v>246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259</v>
      </c>
      <c r="AC4" s="20" t="s">
        <v>100</v>
      </c>
      <c r="AD4" s="19" t="s">
        <v>101</v>
      </c>
      <c r="AE4" s="19" t="s">
        <v>260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257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148</v>
      </c>
      <c r="C5" s="37" t="s">
        <v>14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148</v>
      </c>
      <c r="C6" s="37" t="s">
        <v>14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 t="s">
        <v>14</v>
      </c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 t="s">
        <v>14</v>
      </c>
    </row>
    <row r="7" spans="2:52">
      <c r="B7" s="36" t="s">
        <v>149</v>
      </c>
      <c r="C7" s="37" t="s">
        <v>14</v>
      </c>
      <c r="D7" s="37" t="s">
        <v>14</v>
      </c>
      <c r="E7" s="37"/>
      <c r="F7" s="37"/>
      <c r="G7" s="37"/>
      <c r="H7" s="37" t="s">
        <v>14</v>
      </c>
      <c r="I7" s="37"/>
      <c r="J7" s="37"/>
      <c r="K7" s="37"/>
      <c r="L7" s="37"/>
      <c r="M7" s="37" t="s">
        <v>14</v>
      </c>
      <c r="N7" s="37"/>
      <c r="O7" s="37" t="s">
        <v>14</v>
      </c>
      <c r="P7" s="37"/>
      <c r="Q7" s="37"/>
      <c r="R7" s="37"/>
      <c r="S7" s="37" t="s">
        <v>14</v>
      </c>
      <c r="T7" s="37"/>
      <c r="U7" s="37" t="s">
        <v>14</v>
      </c>
      <c r="V7" s="37"/>
      <c r="W7" s="37"/>
      <c r="X7" s="37"/>
      <c r="Y7" s="37"/>
      <c r="Z7" s="37"/>
      <c r="AA7" s="37" t="s">
        <v>14</v>
      </c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155</v>
      </c>
      <c r="AS7" s="37" t="s">
        <v>14</v>
      </c>
      <c r="AT7" s="37" t="s">
        <v>14</v>
      </c>
      <c r="AU7" s="37" t="s">
        <v>14</v>
      </c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149</v>
      </c>
      <c r="C8" s="37" t="s">
        <v>14</v>
      </c>
      <c r="D8" s="37" t="s">
        <v>14</v>
      </c>
      <c r="E8" s="37" t="s">
        <v>14</v>
      </c>
      <c r="F8" s="37" t="s">
        <v>14</v>
      </c>
      <c r="G8" s="37"/>
      <c r="H8" s="37" t="s">
        <v>14</v>
      </c>
      <c r="I8" s="37" t="s">
        <v>14</v>
      </c>
      <c r="J8" s="37" t="s">
        <v>14</v>
      </c>
      <c r="K8" s="37" t="s">
        <v>14</v>
      </c>
      <c r="L8" s="37"/>
      <c r="M8" s="37"/>
      <c r="N8" s="37" t="s">
        <v>14</v>
      </c>
      <c r="O8" s="37"/>
      <c r="P8" s="37" t="s">
        <v>14</v>
      </c>
      <c r="Q8" s="37" t="s">
        <v>14</v>
      </c>
      <c r="R8" s="37"/>
      <c r="S8" s="37" t="s">
        <v>14</v>
      </c>
      <c r="T8" s="37"/>
      <c r="U8" s="37"/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/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/>
      <c r="AK8" s="37"/>
      <c r="AL8" s="37"/>
      <c r="AM8" s="37"/>
      <c r="AN8" s="37"/>
      <c r="AO8" s="37" t="s">
        <v>14</v>
      </c>
      <c r="AP8" s="37" t="s">
        <v>14</v>
      </c>
      <c r="AQ8" s="37"/>
      <c r="AR8" s="37" t="s">
        <v>155</v>
      </c>
      <c r="AS8" s="37"/>
      <c r="AT8" s="37"/>
      <c r="AU8" s="37"/>
      <c r="AV8" s="37"/>
      <c r="AW8" s="37" t="s">
        <v>14</v>
      </c>
      <c r="AX8" s="37" t="s">
        <v>14</v>
      </c>
      <c r="AY8" s="37"/>
      <c r="AZ8" s="37" t="s">
        <v>14</v>
      </c>
    </row>
    <row r="9" spans="2:52">
      <c r="B9" s="36" t="s">
        <v>149</v>
      </c>
      <c r="C9" s="37" t="s">
        <v>14</v>
      </c>
      <c r="D9" s="37" t="s">
        <v>14</v>
      </c>
      <c r="E9" s="37"/>
      <c r="F9" s="37" t="s">
        <v>14</v>
      </c>
      <c r="G9" s="37"/>
      <c r="H9" s="37" t="s">
        <v>14</v>
      </c>
      <c r="I9" s="37" t="s">
        <v>14</v>
      </c>
      <c r="J9" s="37"/>
      <c r="K9" s="37" t="s">
        <v>14</v>
      </c>
      <c r="L9" s="37"/>
      <c r="M9" s="37"/>
      <c r="N9" s="37"/>
      <c r="O9" s="37"/>
      <c r="P9" s="37"/>
      <c r="Q9" s="37" t="s">
        <v>14</v>
      </c>
      <c r="R9" s="37"/>
      <c r="S9" s="37"/>
      <c r="T9" s="37"/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 t="s">
        <v>14</v>
      </c>
      <c r="AP9" s="37" t="s">
        <v>14</v>
      </c>
      <c r="AQ9" s="37"/>
      <c r="AR9" s="37" t="s">
        <v>155</v>
      </c>
      <c r="AS9" s="37"/>
      <c r="AT9" s="37"/>
      <c r="AU9" s="37"/>
      <c r="AV9" s="37"/>
      <c r="AW9" s="37"/>
      <c r="AX9" s="37" t="s">
        <v>14</v>
      </c>
      <c r="AY9" s="37"/>
      <c r="AZ9" s="37" t="s">
        <v>14</v>
      </c>
    </row>
    <row r="10" spans="2:52">
      <c r="B10" s="36" t="s">
        <v>150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155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B11" s="36" t="s">
        <v>145</v>
      </c>
      <c r="C11" s="37" t="s">
        <v>14</v>
      </c>
      <c r="D11" s="37"/>
      <c r="E11" s="37"/>
      <c r="F11" s="37"/>
      <c r="G11" s="37" t="s">
        <v>14</v>
      </c>
      <c r="H11" s="37"/>
      <c r="I11" s="37"/>
      <c r="J11" s="37"/>
      <c r="K11" s="37"/>
      <c r="L11" s="37" t="s">
        <v>14</v>
      </c>
      <c r="M11" s="37"/>
      <c r="N11" s="37"/>
      <c r="O11" s="37"/>
      <c r="P11" s="37"/>
      <c r="Q11" s="37"/>
      <c r="R11" s="37" t="s">
        <v>14</v>
      </c>
      <c r="S11" s="37"/>
      <c r="T11" s="37" t="s">
        <v>14</v>
      </c>
      <c r="U11" s="37"/>
      <c r="V11" s="37" t="s">
        <v>14</v>
      </c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 t="s">
        <v>14</v>
      </c>
      <c r="AK11" s="37" t="s">
        <v>14</v>
      </c>
      <c r="AL11" s="37"/>
      <c r="AM11" s="37"/>
      <c r="AN11" s="37"/>
      <c r="AO11" s="37" t="s">
        <v>14</v>
      </c>
      <c r="AP11" s="37"/>
      <c r="AQ11" s="37" t="s">
        <v>14</v>
      </c>
      <c r="AR11" s="37" t="s">
        <v>155</v>
      </c>
      <c r="AS11" s="37"/>
      <c r="AT11" s="37"/>
      <c r="AU11" s="37"/>
      <c r="AV11" s="37"/>
      <c r="AW11" s="37"/>
      <c r="AX11" s="37"/>
      <c r="AY11" s="37"/>
      <c r="AZ11" s="37" t="s">
        <v>14</v>
      </c>
    </row>
    <row r="12" spans="2:52">
      <c r="B12" s="36" t="s">
        <v>150</v>
      </c>
      <c r="C12" s="37" t="s">
        <v>14</v>
      </c>
      <c r="D12" s="37"/>
      <c r="E12" s="37"/>
      <c r="F12" s="37"/>
      <c r="G12" s="37" t="s">
        <v>14</v>
      </c>
      <c r="H12" s="37"/>
      <c r="I12" s="37"/>
      <c r="J12" s="37"/>
      <c r="K12" s="37"/>
      <c r="L12" s="37" t="s">
        <v>14</v>
      </c>
      <c r="M12" s="37"/>
      <c r="N12" s="37"/>
      <c r="O12" s="37"/>
      <c r="P12" s="37"/>
      <c r="Q12" s="37"/>
      <c r="R12" s="37" t="s">
        <v>14</v>
      </c>
      <c r="S12" s="37"/>
      <c r="T12" s="37" t="s">
        <v>14</v>
      </c>
      <c r="U12" s="37"/>
      <c r="V12" s="37" t="s">
        <v>14</v>
      </c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 t="s">
        <v>14</v>
      </c>
      <c r="AK12" s="37" t="s">
        <v>14</v>
      </c>
      <c r="AL12" s="37"/>
      <c r="AM12" s="37"/>
      <c r="AN12" s="37"/>
      <c r="AO12" s="37" t="s">
        <v>14</v>
      </c>
      <c r="AP12" s="37"/>
      <c r="AQ12" s="37" t="s">
        <v>14</v>
      </c>
      <c r="AR12" s="37" t="s">
        <v>155</v>
      </c>
      <c r="AS12" s="37"/>
      <c r="AT12" s="37"/>
      <c r="AU12" s="37"/>
      <c r="AV12" s="37"/>
      <c r="AW12" s="37"/>
      <c r="AX12" s="37"/>
      <c r="AY12" s="37"/>
      <c r="AZ12" s="37" t="s">
        <v>14</v>
      </c>
    </row>
    <row r="13" spans="2:52"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L13">
        <v>10</v>
      </c>
      <c r="M13">
        <v>11</v>
      </c>
      <c r="N13">
        <v>12</v>
      </c>
      <c r="O13">
        <v>13</v>
      </c>
      <c r="P13">
        <v>14</v>
      </c>
      <c r="Q13">
        <v>15</v>
      </c>
      <c r="R13">
        <v>16</v>
      </c>
      <c r="S13">
        <v>17</v>
      </c>
      <c r="T13">
        <v>18</v>
      </c>
      <c r="U13">
        <v>19</v>
      </c>
      <c r="V13">
        <v>20</v>
      </c>
      <c r="W13">
        <v>21</v>
      </c>
      <c r="X13">
        <v>22</v>
      </c>
      <c r="Y13">
        <v>23</v>
      </c>
      <c r="Z13">
        <v>24</v>
      </c>
      <c r="AA13">
        <v>25</v>
      </c>
      <c r="AB13">
        <v>26</v>
      </c>
      <c r="AC13">
        <v>27</v>
      </c>
      <c r="AD13">
        <v>28</v>
      </c>
      <c r="AE13">
        <v>29</v>
      </c>
      <c r="AF13">
        <v>30</v>
      </c>
      <c r="AG13">
        <v>31</v>
      </c>
      <c r="AH13">
        <v>32</v>
      </c>
      <c r="AI13">
        <v>33</v>
      </c>
      <c r="AJ13">
        <v>34</v>
      </c>
      <c r="AK13">
        <v>35</v>
      </c>
      <c r="AL13">
        <v>36</v>
      </c>
      <c r="AM13">
        <v>37</v>
      </c>
      <c r="AN13">
        <v>38</v>
      </c>
      <c r="AO13">
        <v>39</v>
      </c>
      <c r="AP13">
        <v>40</v>
      </c>
      <c r="AQ13">
        <v>41</v>
      </c>
      <c r="AR13">
        <v>42</v>
      </c>
      <c r="AS13">
        <v>43</v>
      </c>
      <c r="AT13">
        <v>44</v>
      </c>
      <c r="AU13">
        <v>45</v>
      </c>
      <c r="AV13">
        <v>46</v>
      </c>
      <c r="AW13">
        <v>47</v>
      </c>
      <c r="AX13">
        <v>48</v>
      </c>
      <c r="AY13">
        <v>49</v>
      </c>
      <c r="AZ13">
        <v>50</v>
      </c>
    </row>
  </sheetData>
  <mergeCells count="14">
    <mergeCell ref="K3:N3"/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O3:P3"/>
  </mergeCells>
  <phoneticPr fontId="1" type="noConversion"/>
  <dataValidations count="1">
    <dataValidation type="list" allowBlank="1" showInputMessage="1" showErrorMessage="1" sqref="C5:AZ12">
      <formula1>"Y, 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AZ8"/>
  <sheetViews>
    <sheetView topLeftCell="O1" workbookViewId="0">
      <selection activeCell="V5" sqref="V5"/>
    </sheetView>
  </sheetViews>
  <sheetFormatPr defaultRowHeight="13.5"/>
  <cols>
    <col min="2" max="2" width="9.5" bestFit="1" customWidth="1"/>
    <col min="3" max="3" width="17.25" bestFit="1" customWidth="1"/>
    <col min="4" max="4" width="20.75" bestFit="1" customWidth="1"/>
    <col min="5" max="5" width="18.375" bestFit="1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bestFit="1" customWidth="1"/>
    <col min="11" max="11" width="19.5" bestFit="1" customWidth="1"/>
    <col min="12" max="12" width="12.75" bestFit="1" customWidth="1"/>
    <col min="13" max="13" width="21.625" bestFit="1" customWidth="1"/>
    <col min="14" max="14" width="12.75" bestFit="1" customWidth="1"/>
    <col min="15" max="15" width="17" bestFit="1" customWidth="1"/>
    <col min="16" max="16" width="19.375" bestFit="1" customWidth="1"/>
    <col min="17" max="17" width="15.75" bestFit="1" customWidth="1"/>
    <col min="18" max="18" width="20.5" bestFit="1" customWidth="1"/>
    <col min="19" max="19" width="13.875" bestFit="1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customWidth="1"/>
    <col min="28" max="28" width="12.75" bestFit="1" customWidth="1"/>
    <col min="29" max="29" width="29.5" bestFit="1" customWidth="1"/>
    <col min="30" max="30" width="21.625" bestFit="1" customWidth="1"/>
    <col min="31" max="31" width="15" bestFit="1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customWidth="1"/>
    <col min="46" max="46" width="7.5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51"/>
      <c r="AM3" s="34" t="s">
        <v>119</v>
      </c>
      <c r="AN3" s="132" t="s">
        <v>116</v>
      </c>
      <c r="AO3" s="151"/>
      <c r="AP3" s="132" t="s">
        <v>88</v>
      </c>
      <c r="AQ3" s="151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154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247</v>
      </c>
      <c r="K4" s="20" t="s">
        <v>70</v>
      </c>
      <c r="L4" s="19" t="s">
        <v>71</v>
      </c>
      <c r="M4" s="19" t="s">
        <v>72</v>
      </c>
      <c r="N4" s="19" t="s">
        <v>253</v>
      </c>
      <c r="O4" s="20" t="s">
        <v>73</v>
      </c>
      <c r="P4" s="19" t="s">
        <v>255</v>
      </c>
      <c r="Q4" s="20" t="s">
        <v>74</v>
      </c>
      <c r="R4" s="19" t="s">
        <v>65</v>
      </c>
      <c r="S4" s="19" t="s">
        <v>245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249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244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151</v>
      </c>
      <c r="C5" s="37" t="s">
        <v>14</v>
      </c>
      <c r="D5" s="37" t="s">
        <v>14</v>
      </c>
      <c r="E5" s="37"/>
      <c r="F5" s="37"/>
      <c r="G5" s="37" t="s">
        <v>14</v>
      </c>
      <c r="H5" s="37" t="s">
        <v>14</v>
      </c>
      <c r="I5" s="37"/>
      <c r="J5" s="37"/>
      <c r="K5" s="37"/>
      <c r="L5" s="37" t="s">
        <v>14</v>
      </c>
      <c r="M5" s="37"/>
      <c r="N5" s="37"/>
      <c r="O5" s="37"/>
      <c r="P5" s="37"/>
      <c r="Q5" s="37"/>
      <c r="R5" s="37" t="s">
        <v>14</v>
      </c>
      <c r="S5" s="37"/>
      <c r="T5" s="37" t="s">
        <v>14</v>
      </c>
      <c r="U5" s="37"/>
      <c r="V5" s="37" t="s">
        <v>14</v>
      </c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 t="s">
        <v>14</v>
      </c>
      <c r="AK5" s="37" t="s">
        <v>14</v>
      </c>
      <c r="AL5" s="37" t="s">
        <v>14</v>
      </c>
      <c r="AM5" s="37" t="s">
        <v>14</v>
      </c>
      <c r="AN5" s="37" t="s">
        <v>14</v>
      </c>
      <c r="AO5" s="37" t="s">
        <v>14</v>
      </c>
      <c r="AP5" s="37" t="s">
        <v>14</v>
      </c>
      <c r="AQ5" s="37" t="s">
        <v>14</v>
      </c>
      <c r="AR5" s="37" t="s">
        <v>14</v>
      </c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151</v>
      </c>
      <c r="C6" s="37" t="s">
        <v>14</v>
      </c>
      <c r="D6" s="37" t="s">
        <v>14</v>
      </c>
      <c r="E6" s="37" t="s">
        <v>14</v>
      </c>
      <c r="F6" s="37" t="s">
        <v>14</v>
      </c>
      <c r="G6" s="37" t="s">
        <v>14</v>
      </c>
      <c r="H6" s="37" t="s">
        <v>14</v>
      </c>
      <c r="I6" s="37" t="s">
        <v>14</v>
      </c>
      <c r="J6" s="37" t="s">
        <v>14</v>
      </c>
      <c r="K6" s="37" t="s">
        <v>14</v>
      </c>
      <c r="L6" s="37" t="s">
        <v>14</v>
      </c>
      <c r="M6" s="37"/>
      <c r="N6" s="37" t="s">
        <v>14</v>
      </c>
      <c r="O6" s="37"/>
      <c r="P6" s="37" t="s">
        <v>14</v>
      </c>
      <c r="Q6" s="37" t="s">
        <v>14</v>
      </c>
      <c r="R6" s="37" t="s">
        <v>14</v>
      </c>
      <c r="S6" s="37" t="s">
        <v>14</v>
      </c>
      <c r="T6" s="37" t="s">
        <v>14</v>
      </c>
      <c r="U6" s="37" t="s">
        <v>14</v>
      </c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 t="s">
        <v>14</v>
      </c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 t="s">
        <v>14</v>
      </c>
      <c r="AK6" s="37" t="s">
        <v>14</v>
      </c>
      <c r="AL6" s="37"/>
      <c r="AM6" s="37"/>
      <c r="AN6" s="37"/>
      <c r="AO6" s="37" t="s">
        <v>14</v>
      </c>
      <c r="AP6" s="37" t="s">
        <v>14</v>
      </c>
      <c r="AQ6" s="37" t="s">
        <v>14</v>
      </c>
      <c r="AR6" s="37" t="s">
        <v>14</v>
      </c>
      <c r="AS6" s="37"/>
      <c r="AT6" s="37"/>
      <c r="AU6" s="37"/>
      <c r="AV6" s="37" t="s">
        <v>14</v>
      </c>
      <c r="AW6" s="37" t="s">
        <v>14</v>
      </c>
      <c r="AX6" s="37" t="s">
        <v>14</v>
      </c>
      <c r="AY6" s="37" t="s">
        <v>14</v>
      </c>
      <c r="AZ6" s="37" t="s">
        <v>14</v>
      </c>
    </row>
    <row r="7" spans="2:52">
      <c r="B7" s="36" t="s">
        <v>152</v>
      </c>
      <c r="C7" s="37" t="s">
        <v>14</v>
      </c>
      <c r="D7" s="37" t="s">
        <v>14</v>
      </c>
      <c r="E7" s="37"/>
      <c r="F7" s="37" t="s">
        <v>14</v>
      </c>
      <c r="G7" s="37" t="s">
        <v>14</v>
      </c>
      <c r="H7" s="37" t="s">
        <v>14</v>
      </c>
      <c r="I7" s="37" t="s">
        <v>14</v>
      </c>
      <c r="J7" s="37"/>
      <c r="K7" s="37" t="s">
        <v>14</v>
      </c>
      <c r="L7" s="37" t="s">
        <v>14</v>
      </c>
      <c r="M7" s="37" t="s">
        <v>14</v>
      </c>
      <c r="N7" s="37"/>
      <c r="O7" s="37" t="s">
        <v>14</v>
      </c>
      <c r="P7" s="37"/>
      <c r="Q7" s="37" t="s">
        <v>14</v>
      </c>
      <c r="R7" s="37" t="s">
        <v>14</v>
      </c>
      <c r="S7" s="37"/>
      <c r="T7" s="37" t="s">
        <v>14</v>
      </c>
      <c r="U7" s="37"/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/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 t="s">
        <v>14</v>
      </c>
      <c r="AK7" s="37" t="s">
        <v>14</v>
      </c>
      <c r="AL7" s="37"/>
      <c r="AM7" s="37"/>
      <c r="AN7" s="37"/>
      <c r="AO7" s="37" t="s">
        <v>14</v>
      </c>
      <c r="AP7" s="37" t="s">
        <v>14</v>
      </c>
      <c r="AQ7" s="37" t="s">
        <v>14</v>
      </c>
      <c r="AR7" s="37" t="s">
        <v>14</v>
      </c>
      <c r="AS7" s="37" t="s">
        <v>14</v>
      </c>
      <c r="AT7" s="37" t="s">
        <v>14</v>
      </c>
      <c r="AU7" s="37" t="s">
        <v>14</v>
      </c>
      <c r="AV7" s="37"/>
      <c r="AW7" s="37"/>
      <c r="AX7" s="37" t="s">
        <v>14</v>
      </c>
      <c r="AY7" s="37"/>
      <c r="AZ7" s="37" t="s">
        <v>14</v>
      </c>
    </row>
    <row r="8" spans="2:52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</row>
  </sheetData>
  <mergeCells count="14">
    <mergeCell ref="D3:E3"/>
    <mergeCell ref="O3:P3"/>
    <mergeCell ref="AV3:AW3"/>
    <mergeCell ref="U3:V3"/>
    <mergeCell ref="AX3:AZ3"/>
    <mergeCell ref="AP3:AQ3"/>
    <mergeCell ref="AN3:AO3"/>
    <mergeCell ref="AK3:AL3"/>
    <mergeCell ref="AF3:AH3"/>
    <mergeCell ref="F3:J3"/>
    <mergeCell ref="K3:N3"/>
    <mergeCell ref="Q3:S3"/>
    <mergeCell ref="W3:AB3"/>
    <mergeCell ref="AC3:AE3"/>
  </mergeCells>
  <phoneticPr fontId="1" type="noConversion"/>
  <dataValidations count="1">
    <dataValidation type="list" allowBlank="1" showInputMessage="1" showErrorMessage="1" sqref="C5:AZ7">
      <formula1>"Y, 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BA34"/>
  <sheetViews>
    <sheetView topLeftCell="A28" workbookViewId="0">
      <selection activeCell="H34" sqref="H34"/>
    </sheetView>
  </sheetViews>
  <sheetFormatPr defaultRowHeight="13.5"/>
  <cols>
    <col min="1" max="1" width="25.375" customWidth="1"/>
    <col min="2" max="2" width="18.375" customWidth="1"/>
    <col min="4" max="4" width="20.875" customWidth="1"/>
    <col min="6" max="6" width="32.5" customWidth="1"/>
    <col min="8" max="8" width="26.125" customWidth="1"/>
    <col min="11" max="11" width="16.25" customWidth="1"/>
    <col min="13" max="13" width="14.75" customWidth="1"/>
    <col min="15" max="15" width="18.875" customWidth="1"/>
    <col min="16" max="16" width="15.5" customWidth="1"/>
    <col min="31" max="31" width="12.375" customWidth="1"/>
    <col min="37" max="38" width="13.625" customWidth="1"/>
  </cols>
  <sheetData>
    <row r="3" spans="1:53" ht="24" customHeight="1">
      <c r="D3" t="s">
        <v>158</v>
      </c>
    </row>
    <row r="4" spans="1:53" ht="24" customHeight="1">
      <c r="A4" t="s">
        <v>191</v>
      </c>
      <c r="B4" s="41">
        <v>3</v>
      </c>
      <c r="D4" t="s">
        <v>192</v>
      </c>
    </row>
    <row r="5" spans="1:53" ht="24" customHeight="1">
      <c r="H5" s="52" t="s">
        <v>165</v>
      </c>
    </row>
    <row r="6" spans="1:53" ht="24" customHeight="1">
      <c r="A6" s="56" t="s">
        <v>172</v>
      </c>
      <c r="B6" s="48"/>
      <c r="C6" s="48"/>
      <c r="D6" s="48"/>
      <c r="E6" s="48"/>
      <c r="F6" s="48"/>
      <c r="G6" s="48"/>
      <c r="H6" s="48" t="str">
        <f ca="1">IF(INDIRECT("基础配置" &amp; "!$C12")="Y",INDIRECT("基础配置" &amp; "!$C13"),"")</f>
        <v>123456a?</v>
      </c>
      <c r="I6" s="48"/>
      <c r="J6" s="48"/>
      <c r="K6" s="48"/>
    </row>
    <row r="7" spans="1:53" ht="24" customHeight="1">
      <c r="B7" s="53" t="s">
        <v>166</v>
      </c>
      <c r="O7" s="19"/>
      <c r="P7" s="20"/>
      <c r="AD7" s="19"/>
      <c r="AE7" s="19"/>
      <c r="AK7" s="19"/>
      <c r="AL7" s="19"/>
    </row>
    <row r="8" spans="1:53" ht="24" customHeight="1">
      <c r="A8" s="57" t="s">
        <v>173</v>
      </c>
      <c r="B8" s="54" t="str">
        <f ca="1">INDIRECT("节点信息" &amp; "!$C" &amp; ROW())</f>
        <v>172.16.1.36</v>
      </c>
      <c r="C8" s="36" t="s">
        <v>145</v>
      </c>
      <c r="D8" s="37" t="s">
        <v>14</v>
      </c>
      <c r="E8" s="37"/>
      <c r="F8" s="37"/>
      <c r="G8" s="37"/>
      <c r="H8" s="37" t="s">
        <v>14</v>
      </c>
      <c r="I8" s="37"/>
      <c r="J8" s="37"/>
      <c r="K8" s="37"/>
      <c r="L8" s="37"/>
      <c r="M8" s="37" t="s">
        <v>14</v>
      </c>
      <c r="N8" s="37"/>
      <c r="O8" s="37"/>
      <c r="P8" s="37"/>
      <c r="Q8" s="37"/>
      <c r="R8" s="37"/>
      <c r="S8" s="37" t="s">
        <v>14</v>
      </c>
      <c r="T8" s="37"/>
      <c r="U8" s="37" t="s">
        <v>14</v>
      </c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 t="s">
        <v>14</v>
      </c>
      <c r="AL8" s="37" t="s">
        <v>14</v>
      </c>
      <c r="AM8" s="37"/>
      <c r="AN8" s="37"/>
      <c r="AO8" s="37"/>
      <c r="AP8" s="37" t="s">
        <v>14</v>
      </c>
      <c r="AQ8" s="37"/>
      <c r="AR8" s="37" t="s">
        <v>14</v>
      </c>
      <c r="AS8" s="37" t="s">
        <v>14</v>
      </c>
      <c r="AT8" s="37"/>
      <c r="AU8" s="37"/>
      <c r="AV8" s="37"/>
      <c r="AW8" s="37"/>
      <c r="AX8" s="37"/>
      <c r="AY8" s="37"/>
      <c r="AZ8" s="37"/>
      <c r="BA8" s="37" t="s">
        <v>14</v>
      </c>
    </row>
    <row r="9" spans="1:53" ht="24" customHeight="1">
      <c r="B9" t="s">
        <v>167</v>
      </c>
      <c r="D9" t="s">
        <v>230</v>
      </c>
      <c r="J9" t="s">
        <v>227</v>
      </c>
      <c r="K9" t="s">
        <v>222</v>
      </c>
      <c r="L9" t="s">
        <v>171</v>
      </c>
      <c r="M9" t="s">
        <v>170</v>
      </c>
      <c r="N9" t="s">
        <v>169</v>
      </c>
      <c r="O9" t="s">
        <v>168</v>
      </c>
    </row>
    <row r="10" spans="1:53" ht="24" customHeight="1">
      <c r="A10" s="56" t="s">
        <v>174</v>
      </c>
      <c r="B10" s="55">
        <f ca="1">INDIRECT("节点信息" &amp; "!$C" &amp; ROW())</f>
        <v>0</v>
      </c>
      <c r="C10" s="67">
        <v>10</v>
      </c>
      <c r="D10" s="51">
        <v>0</v>
      </c>
      <c r="E10" s="55"/>
      <c r="F10" s="55"/>
      <c r="G10" s="55"/>
      <c r="H10" s="55"/>
      <c r="I10" s="55"/>
      <c r="J10" s="67">
        <v>0</v>
      </c>
      <c r="K10" s="85"/>
      <c r="L10" s="51"/>
      <c r="M10" s="51"/>
      <c r="N10" s="51"/>
      <c r="O10" s="51"/>
    </row>
    <row r="11" spans="1:53" ht="24" customHeight="1"/>
    <row r="12" spans="1:53" ht="17.25">
      <c r="A12" s="56" t="s">
        <v>193</v>
      </c>
      <c r="B12" s="1" t="s">
        <v>23</v>
      </c>
      <c r="C12" s="1" t="s">
        <v>22</v>
      </c>
    </row>
    <row r="13" spans="1:53" ht="14.25">
      <c r="B13" s="16" t="s">
        <v>25</v>
      </c>
      <c r="C13" s="82" t="str">
        <f ca="1">INDIRECT("服务选择" &amp; "!$A" &amp; ROW()-6)</f>
        <v>Y</v>
      </c>
    </row>
    <row r="14" spans="1:53" ht="14.25">
      <c r="B14" s="17" t="s">
        <v>26</v>
      </c>
      <c r="C14" s="82">
        <f t="shared" ref="C14:C30" ca="1" si="0">INDIRECT("服务选择" &amp; "!$A" &amp; ROW()-6)</f>
        <v>0</v>
      </c>
    </row>
    <row r="15" spans="1:53" ht="14.25">
      <c r="B15" s="16" t="s">
        <v>27</v>
      </c>
      <c r="C15" s="82" t="str">
        <f t="shared" ca="1" si="0"/>
        <v>Y</v>
      </c>
    </row>
    <row r="16" spans="1:53" ht="14.25">
      <c r="B16" s="17" t="s">
        <v>28</v>
      </c>
      <c r="C16" s="82" t="str">
        <f t="shared" ca="1" si="0"/>
        <v>Y</v>
      </c>
    </row>
    <row r="17" spans="1:3" ht="14.25">
      <c r="B17" s="16" t="s">
        <v>29</v>
      </c>
      <c r="C17" s="82" t="str">
        <f t="shared" ca="1" si="0"/>
        <v>Y</v>
      </c>
    </row>
    <row r="18" spans="1:3" ht="14.25">
      <c r="B18" s="17" t="s">
        <v>30</v>
      </c>
      <c r="C18" s="82" t="str">
        <f t="shared" ca="1" si="0"/>
        <v>Y</v>
      </c>
    </row>
    <row r="19" spans="1:3" ht="14.25">
      <c r="B19" s="17" t="s">
        <v>31</v>
      </c>
      <c r="C19" s="82" t="str">
        <f t="shared" ca="1" si="0"/>
        <v>Y</v>
      </c>
    </row>
    <row r="20" spans="1:3" ht="14.25">
      <c r="B20" s="16" t="s">
        <v>78</v>
      </c>
      <c r="C20" s="82" t="str">
        <f t="shared" ca="1" si="0"/>
        <v>Y</v>
      </c>
    </row>
    <row r="21" spans="1:3" ht="14.25">
      <c r="B21" s="17" t="s">
        <v>33</v>
      </c>
      <c r="C21" s="82" t="str">
        <f t="shared" ca="1" si="0"/>
        <v>Y</v>
      </c>
    </row>
    <row r="22" spans="1:3" ht="14.25">
      <c r="B22" s="16" t="s">
        <v>34</v>
      </c>
      <c r="C22" s="82" t="str">
        <f t="shared" ca="1" si="0"/>
        <v>Y</v>
      </c>
    </row>
    <row r="23" spans="1:3" ht="14.25">
      <c r="B23" s="17" t="s">
        <v>35</v>
      </c>
      <c r="C23" s="82" t="str">
        <f t="shared" ca="1" si="0"/>
        <v>Y</v>
      </c>
    </row>
    <row r="24" spans="1:3" ht="14.25">
      <c r="B24" s="16" t="s">
        <v>36</v>
      </c>
      <c r="C24" s="82" t="str">
        <f t="shared" ca="1" si="0"/>
        <v>Y</v>
      </c>
    </row>
    <row r="25" spans="1:3" ht="14.25">
      <c r="B25" s="17" t="s">
        <v>37</v>
      </c>
      <c r="C25" s="82" t="str">
        <f t="shared" ca="1" si="0"/>
        <v>Y</v>
      </c>
    </row>
    <row r="26" spans="1:3" ht="14.25">
      <c r="B26" s="16" t="s">
        <v>38</v>
      </c>
      <c r="C26" s="82" t="str">
        <f t="shared" ca="1" si="0"/>
        <v>Y</v>
      </c>
    </row>
    <row r="27" spans="1:3" ht="14.25">
      <c r="B27" s="17" t="s">
        <v>39</v>
      </c>
      <c r="C27" s="82" t="str">
        <f t="shared" ca="1" si="0"/>
        <v>Y</v>
      </c>
    </row>
    <row r="28" spans="1:3" ht="14.25">
      <c r="B28" s="16" t="s">
        <v>40</v>
      </c>
      <c r="C28" s="82" t="str">
        <f t="shared" ca="1" si="0"/>
        <v>Y</v>
      </c>
    </row>
    <row r="29" spans="1:3" ht="14.25">
      <c r="B29" s="17" t="s">
        <v>41</v>
      </c>
      <c r="C29" s="82" t="str">
        <f t="shared" ca="1" si="0"/>
        <v>Y</v>
      </c>
    </row>
    <row r="30" spans="1:3" ht="14.25">
      <c r="B30" s="16" t="s">
        <v>42</v>
      </c>
      <c r="C30" s="82" t="str">
        <f t="shared" ca="1" si="0"/>
        <v>Y</v>
      </c>
    </row>
    <row r="32" spans="1:3">
      <c r="A32" t="s">
        <v>237</v>
      </c>
      <c r="B32" t="s">
        <v>238</v>
      </c>
    </row>
    <row r="33" spans="2:8" ht="22.5" customHeight="1">
      <c r="B33" t="s">
        <v>290</v>
      </c>
      <c r="D33" t="s">
        <v>291</v>
      </c>
      <c r="F33" t="s">
        <v>292</v>
      </c>
      <c r="H33" t="s">
        <v>293</v>
      </c>
    </row>
    <row r="34" spans="2:8" ht="409.5">
      <c r="B34" s="68" t="s">
        <v>288</v>
      </c>
      <c r="D34" s="68" t="s">
        <v>289</v>
      </c>
      <c r="F34" s="68" t="s">
        <v>307</v>
      </c>
      <c r="H34" s="68" t="s">
        <v>308</v>
      </c>
    </row>
  </sheetData>
  <phoneticPr fontId="1" type="noConversion"/>
  <dataValidations disablePrompts="1" count="1">
    <dataValidation type="list" allowBlank="1" showInputMessage="1" showErrorMessage="1" sqref="D8:AP8 AR8:BA8">
      <formula1>"Y,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94</vt:i4>
      </vt:variant>
    </vt:vector>
  </HeadingPairs>
  <TitlesOfParts>
    <vt:vector size="106" baseType="lpstr">
      <vt:lpstr>工具说明</vt:lpstr>
      <vt:lpstr>基础配置</vt:lpstr>
      <vt:lpstr>节点信息</vt:lpstr>
      <vt:lpstr>服务选择</vt:lpstr>
      <vt:lpstr>组件部署</vt:lpstr>
      <vt:lpstr>磁盘配置</vt:lpstr>
      <vt:lpstr>生成配置文件</vt:lpstr>
      <vt:lpstr>required_services</vt:lpstr>
      <vt:lpstr>option1</vt:lpstr>
      <vt:lpstr>option2</vt:lpstr>
      <vt:lpstr>option3</vt:lpstr>
      <vt:lpstr>constantValue</vt:lpstr>
      <vt:lpstr>atlasServer</vt:lpstr>
      <vt:lpstr>backgroundTemplate</vt:lpstr>
      <vt:lpstr>BMC</vt:lpstr>
      <vt:lpstr>bmcGateway</vt:lpstr>
      <vt:lpstr>bmcIPAddr</vt:lpstr>
      <vt:lpstr>bmcNetmask</vt:lpstr>
      <vt:lpstr>bmcOpen</vt:lpstr>
      <vt:lpstr>clusterName</vt:lpstr>
      <vt:lpstr>columnServices</vt:lpstr>
      <vt:lpstr>componentNodesIP</vt:lpstr>
      <vt:lpstr>confFilePath</vt:lpstr>
      <vt:lpstr>dataDiskCount</vt:lpstr>
      <vt:lpstr>dataNode</vt:lpstr>
      <vt:lpstr>dataNodeTemplate</vt:lpstr>
      <vt:lpstr>deployServicesName</vt:lpstr>
      <vt:lpstr>diskLastCol</vt:lpstr>
      <vt:lpstr>diskNodesIp</vt:lpstr>
      <vt:lpstr>diskNodeTemplate</vt:lpstr>
      <vt:lpstr>diskServicesName</vt:lpstr>
      <vt:lpstr>dnDiskCount</vt:lpstr>
      <vt:lpstr>dns</vt:lpstr>
      <vt:lpstr>domainName</vt:lpstr>
      <vt:lpstr>ElasticSearchInstalled</vt:lpstr>
      <vt:lpstr>esDiskCount</vt:lpstr>
      <vt:lpstr>EsServer</vt:lpstr>
      <vt:lpstr>gateway</vt:lpstr>
      <vt:lpstr>hdfsInstalled</vt:lpstr>
      <vt:lpstr>indata_deploy.sh</vt:lpstr>
      <vt:lpstr>infoLastCol</vt:lpstr>
      <vt:lpstr>infoRootPassWord</vt:lpstr>
      <vt:lpstr>init.sh</vt:lpstr>
      <vt:lpstr>ipAddr</vt:lpstr>
      <vt:lpstr>ipTemplate</vt:lpstr>
      <vt:lpstr>jnDiskCount</vt:lpstr>
      <vt:lpstr>journalNode</vt:lpstr>
      <vt:lpstr>KafkaBroker</vt:lpstr>
      <vt:lpstr>kafkaDiskCount</vt:lpstr>
      <vt:lpstr>KafkaInstalled</vt:lpstr>
      <vt:lpstr>kerberosAdminPassword</vt:lpstr>
      <vt:lpstr>kerberosAdminUser</vt:lpstr>
      <vt:lpstr>keycloakPassword</vt:lpstr>
      <vt:lpstr>kmDiskCount</vt:lpstr>
      <vt:lpstr>knoxGateway</vt:lpstr>
      <vt:lpstr>kuduDiskCount</vt:lpstr>
      <vt:lpstr>KuduInstalled</vt:lpstr>
      <vt:lpstr>KuduMaster</vt:lpstr>
      <vt:lpstr>KuduTServer</vt:lpstr>
      <vt:lpstr>lastCol</vt:lpstr>
      <vt:lpstr>ldapBase</vt:lpstr>
      <vt:lpstr>ldapRootPassword</vt:lpstr>
      <vt:lpstr>logsearchServer</vt:lpstr>
      <vt:lpstr>macAddr</vt:lpstr>
      <vt:lpstr>metaDiskCount</vt:lpstr>
      <vt:lpstr>MIN_CULSTER_NODE_NUM</vt:lpstr>
      <vt:lpstr>modeOption</vt:lpstr>
      <vt:lpstr>mySQLDiskCount</vt:lpstr>
      <vt:lpstr>mysqlHivePassword</vt:lpstr>
      <vt:lpstr>mysqlIdapPassword</vt:lpstr>
      <vt:lpstr>mysqlRootPassword</vt:lpstr>
      <vt:lpstr>nameNode</vt:lpstr>
      <vt:lpstr>netmask</vt:lpstr>
      <vt:lpstr>networkInterface</vt:lpstr>
      <vt:lpstr>nifiDiskCount</vt:lpstr>
      <vt:lpstr>NiFiInstalled</vt:lpstr>
      <vt:lpstr>NiFiMaster</vt:lpstr>
      <vt:lpstr>nifiPassword</vt:lpstr>
      <vt:lpstr>nnDiskCount</vt:lpstr>
      <vt:lpstr>nodesNum</vt:lpstr>
      <vt:lpstr>nodeType</vt:lpstr>
      <vt:lpstr>option1ComponentTopo</vt:lpstr>
      <vt:lpstr>option1NodeType</vt:lpstr>
      <vt:lpstr>option2ComponentTopo</vt:lpstr>
      <vt:lpstr>option2NodeType</vt:lpstr>
      <vt:lpstr>option3ComponentTopo</vt:lpstr>
      <vt:lpstr>option3NodeType</vt:lpstr>
      <vt:lpstr>planOption</vt:lpstr>
      <vt:lpstr>rackName</vt:lpstr>
      <vt:lpstr>rangerAdmin</vt:lpstr>
      <vt:lpstr>rangerAdminPassword</vt:lpstr>
      <vt:lpstr>realm</vt:lpstr>
      <vt:lpstr>requiredRelation</vt:lpstr>
      <vt:lpstr>restart_required_services.json</vt:lpstr>
      <vt:lpstr>rootPassWord</vt:lpstr>
      <vt:lpstr>rootPassWordTemplate</vt:lpstr>
      <vt:lpstr>rowServices</vt:lpstr>
      <vt:lpstr>samePassWordorNot</vt:lpstr>
      <vt:lpstr>servicesName</vt:lpstr>
      <vt:lpstr>start_all_services.json</vt:lpstr>
      <vt:lpstr>topologyContent</vt:lpstr>
      <vt:lpstr>totalDiskCount</vt:lpstr>
      <vt:lpstr>userServiceSelect</vt:lpstr>
      <vt:lpstr>virtualIP</vt:lpstr>
      <vt:lpstr>zkDiskCount</vt:lpstr>
      <vt:lpstr>zooKeeperServer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Hamburg Kan(阚宝铎)</cp:lastModifiedBy>
  <dcterms:created xsi:type="dcterms:W3CDTF">2006-09-16T00:00:00Z</dcterms:created>
  <dcterms:modified xsi:type="dcterms:W3CDTF">2018-09-29T06:15:11Z</dcterms:modified>
</cp:coreProperties>
</file>